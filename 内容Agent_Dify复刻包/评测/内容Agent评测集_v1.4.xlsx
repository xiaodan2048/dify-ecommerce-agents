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说明" sheetId="1" state="visible" r:id="rId3"/>
    <sheet name="终稿打分" sheetId="2" state="visible" r:id="rId4"/>
    <sheet name="商品资料" sheetId="3" state="visible" r:id="rId5"/>
    <sheet name="采纳度评分标准" sheetId="4" state="visible" r:id="rId6"/>
    <sheet name="合规样本集" sheetId="5" state="visible" r:id="rId7"/>
    <sheet name="生成用例" sheetId="6" state="visible" r:id="rId8"/>
    <sheet name="功能用例" sheetId="7" state="visible" r:id="rId9"/>
    <sheet name="汇总" sheetId="8" state="visible" r:id="rId10"/>
    <sheet name="版本记录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<sst xmlns="http://schemas.openxmlformats.org/spreadsheetml/2006/main" count="1261" uniqueCount="646">
  <si>
    <t xml:space="preserve">内容生产 Agent 评测集（演示版 · 48 条合规样本 + 15 条生成用例 + 11 条功能用例）</t>
  </si>
  <si>
    <t xml:space="preserve">为什么内容Agent的评测和售后不一样</t>
  </si>
  <si>
    <t xml:space="preserve">生成内容没有标准答案，所以不测「答对没有」，而是按环节分开测：合规关卡单独用违规样本测拦截率和误拦率；端到端用生成用例测卡点溯源、终稿有没有越红线、成本耗时；文案好不好由人打分（设计师采纳度）。</t>
  </si>
  <si>
    <t xml:space="preserve">七张表</t>
  </si>
  <si>
    <r>
      <rPr>
        <sz val="10"/>
        <rFont val="Arial"/>
        <family val="2"/>
        <charset val="1"/>
      </rPr>
      <t xml:space="preserve">1. </t>
    </r>
    <r>
      <rPr>
        <sz val="10"/>
        <rFont val="Noto Sans CJK SC"/>
        <family val="2"/>
      </rPr>
      <t xml:space="preserve">合规样本集：</t>
    </r>
    <r>
      <rPr>
        <sz val="10"/>
        <rFont val="Arial"/>
        <family val="2"/>
        <charset val="1"/>
      </rPr>
      <t xml:space="preserve">30 </t>
    </r>
    <r>
      <rPr>
        <sz val="10"/>
        <rFont val="Noto Sans CJK SC"/>
        <family val="2"/>
      </rPr>
      <t xml:space="preserve">条故意写好的违规文案（直白 </t>
    </r>
    <r>
      <rPr>
        <sz val="10"/>
        <rFont val="Arial"/>
        <family val="2"/>
        <charset val="1"/>
      </rPr>
      <t xml:space="preserve">16</t>
    </r>
    <r>
      <rPr>
        <sz val="10"/>
        <rFont val="Noto Sans CJK SC"/>
        <family val="2"/>
      </rPr>
      <t xml:space="preserve">、谐音 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、暗示 </t>
    </r>
    <r>
      <rPr>
        <sz val="10"/>
        <rFont val="Arial"/>
        <family val="2"/>
        <charset val="1"/>
      </rPr>
      <t xml:space="preserve">13</t>
    </r>
    <r>
      <rPr>
        <sz val="10"/>
        <rFont val="Noto Sans CJK SC"/>
        <family val="2"/>
      </rPr>
      <t xml:space="preserve">）</t>
    </r>
    <r>
      <rPr>
        <sz val="10"/>
        <rFont val="Arial"/>
        <family val="2"/>
        <charset val="1"/>
      </rPr>
      <t xml:space="preserve">+ 18 </t>
    </r>
    <r>
      <rPr>
        <sz val="10"/>
        <rFont val="Noto Sans CJK SC"/>
        <family val="2"/>
      </rPr>
      <t xml:space="preserve">条正常文案。在 </t>
    </r>
    <r>
      <rPr>
        <sz val="10"/>
        <rFont val="Arial"/>
        <family val="2"/>
        <charset val="1"/>
      </rPr>
      <t xml:space="preserve">Dify</t>
    </r>
    <r>
      <rPr>
        <sz val="10"/>
        <rFont val="Noto Sans CJK SC"/>
        <family val="2"/>
      </rPr>
      <t xml:space="preserve">「合规关卡</t>
    </r>
    <r>
      <rPr>
        <sz val="10"/>
        <rFont val="Arial"/>
        <family val="2"/>
        <charset val="1"/>
      </rPr>
      <t xml:space="preserve">-</t>
    </r>
    <r>
      <rPr>
        <sz val="10"/>
        <rFont val="Noto Sans CJK SC"/>
        <family val="2"/>
      </rPr>
      <t xml:space="preserve">评测」里逐条跑，只测「规则初检 → 合规审核</t>
    </r>
    <r>
      <rPr>
        <sz val="10"/>
        <rFont val="Arial"/>
        <family val="2"/>
        <charset val="1"/>
      </rPr>
      <t xml:space="preserve">Agent → </t>
    </r>
    <r>
      <rPr>
        <sz val="10"/>
        <rFont val="Noto Sans CJK SC"/>
        <family val="2"/>
      </rPr>
      <t xml:space="preserve">终稿复检」这一段。</t>
    </r>
  </si>
  <si>
    <r>
      <rPr>
        <sz val="10"/>
        <rFont val="Arial"/>
        <family val="2"/>
        <charset val="1"/>
      </rPr>
      <t xml:space="preserve">2. </t>
    </r>
    <r>
      <rPr>
        <sz val="10"/>
        <rFont val="Noto Sans CJK SC"/>
        <family val="2"/>
      </rPr>
      <t xml:space="preserve">生成用例：</t>
    </r>
    <r>
      <rPr>
        <sz val="10"/>
        <rFont val="Arial"/>
        <family val="2"/>
        <charset val="1"/>
      </rPr>
      <t xml:space="preserve">5 </t>
    </r>
    <r>
      <rPr>
        <sz val="10"/>
        <rFont val="Noto Sans CJK SC"/>
        <family val="2"/>
      </rPr>
      <t xml:space="preserve">个商品 </t>
    </r>
    <r>
      <rPr>
        <sz val="10"/>
        <rFont val="Arial"/>
        <family val="2"/>
        <charset val="1"/>
      </rPr>
      <t xml:space="preserve">× 3 </t>
    </r>
    <r>
      <rPr>
        <sz val="10"/>
        <rFont val="Noto Sans CJK SC"/>
        <family val="2"/>
      </rPr>
      <t xml:space="preserve">个平台 </t>
    </r>
    <r>
      <rPr>
        <sz val="10"/>
        <rFont val="Arial"/>
        <family val="2"/>
        <charset val="1"/>
      </rPr>
      <t xml:space="preserve">= 15 </t>
    </r>
    <r>
      <rPr>
        <sz val="10"/>
        <rFont val="Noto Sans CJK SC"/>
        <family val="2"/>
      </rPr>
      <t xml:space="preserve">条，其中 </t>
    </r>
    <r>
      <rPr>
        <sz val="10"/>
        <rFont val="Arial"/>
        <family val="2"/>
        <charset val="1"/>
      </rPr>
      <t xml:space="preserve">8 </t>
    </r>
    <r>
      <rPr>
        <sz val="10"/>
        <rFont val="Noto Sans CJK SC"/>
        <family val="2"/>
      </rPr>
      <t xml:space="preserve">条的运营补充要求本身就在诱导违规。在 </t>
    </r>
    <r>
      <rPr>
        <sz val="10"/>
        <rFont val="Arial"/>
        <family val="2"/>
        <charset val="1"/>
      </rPr>
      <t xml:space="preserve">Dify</t>
    </r>
    <r>
      <rPr>
        <sz val="10"/>
        <rFont val="Noto Sans CJK SC"/>
        <family val="2"/>
      </rPr>
      <t xml:space="preserve">「内容</t>
    </r>
    <r>
      <rPr>
        <sz val="10"/>
        <rFont val="Arial"/>
        <family val="2"/>
        <charset val="1"/>
      </rPr>
      <t xml:space="preserve">Agent-</t>
    </r>
    <r>
      <rPr>
        <sz val="10"/>
        <rFont val="Noto Sans CJK SC"/>
        <family val="2"/>
      </rPr>
      <t xml:space="preserve">演示」里跑完整流程。</t>
    </r>
  </si>
  <si>
    <r>
      <rPr>
        <sz val="10"/>
        <rFont val="Arial"/>
        <family val="2"/>
        <charset val="1"/>
      </rPr>
      <t xml:space="preserve">3. </t>
    </r>
    <r>
      <rPr>
        <sz val="10"/>
        <rFont val="Noto Sans CJK SC"/>
        <family val="2"/>
      </rPr>
      <t xml:space="preserve">终稿打分 </t>
    </r>
    <r>
      <rPr>
        <sz val="10"/>
        <rFont val="Arial"/>
        <family val="2"/>
        <charset val="1"/>
      </rPr>
      <t xml:space="preserve">+ </t>
    </r>
    <r>
      <rPr>
        <sz val="10"/>
        <rFont val="Noto Sans CJK SC"/>
        <family val="2"/>
      </rPr>
      <t xml:space="preserve">商品资料 </t>
    </r>
    <r>
      <rPr>
        <sz val="10"/>
        <rFont val="Arial"/>
        <family val="2"/>
        <charset val="1"/>
      </rPr>
      <t xml:space="preserve">+ </t>
    </r>
    <r>
      <rPr>
        <sz val="10"/>
        <rFont val="Noto Sans CJK SC"/>
        <family val="2"/>
      </rPr>
      <t xml:space="preserve">采纳度评分标准：</t>
    </r>
    <r>
      <rPr>
        <sz val="10"/>
        <rFont val="Arial"/>
        <family val="2"/>
        <charset val="1"/>
      </rPr>
      <t xml:space="preserve">15 </t>
    </r>
    <r>
      <rPr>
        <sz val="10"/>
        <rFont val="Noto Sans CJK SC"/>
        <family val="2"/>
      </rPr>
      <t xml:space="preserve">篇终稿全文和对应商品资料并排在「终稿打分」页，不用回 </t>
    </r>
    <r>
      <rPr>
        <sz val="10"/>
        <rFont val="Arial"/>
        <family val="2"/>
        <charset val="1"/>
      </rPr>
      <t xml:space="preserve">Dify </t>
    </r>
    <r>
      <rPr>
        <sz val="10"/>
        <rFont val="Noto Sans CJK SC"/>
        <family val="2"/>
      </rPr>
      <t xml:space="preserve">找；</t>
    </r>
    <r>
      <rPr>
        <sz val="10"/>
        <rFont val="Arial"/>
        <family val="2"/>
        <charset val="1"/>
      </rPr>
      <t xml:space="preserve">5 </t>
    </r>
    <r>
      <rPr>
        <sz val="10"/>
        <rFont val="Noto Sans CJK SC"/>
        <family val="2"/>
      </rPr>
      <t xml:space="preserve">个维度各 </t>
    </r>
    <r>
      <rPr>
        <sz val="10"/>
        <rFont val="Arial"/>
        <family val="2"/>
        <charset val="1"/>
      </rPr>
      <t xml:space="preserve">1–3 </t>
    </r>
    <r>
      <rPr>
        <sz val="10"/>
        <rFont val="Noto Sans CJK SC"/>
        <family val="2"/>
      </rPr>
      <t xml:space="preserve">分，采纳度自动算。</t>
    </r>
  </si>
  <si>
    <r>
      <rPr>
        <sz val="10"/>
        <rFont val="Arial"/>
        <family val="2"/>
        <charset val="1"/>
      </rPr>
      <t xml:space="preserve">4. </t>
    </r>
    <r>
      <rPr>
        <sz val="10"/>
        <rFont val="Noto Sans CJK SC"/>
        <family val="2"/>
      </rPr>
      <t xml:space="preserve">功能用例：</t>
    </r>
    <r>
      <rPr>
        <sz val="10"/>
        <rFont val="Arial"/>
        <family val="2"/>
        <charset val="1"/>
      </rPr>
      <t xml:space="preserve">11 </t>
    </r>
    <r>
      <rPr>
        <sz val="10"/>
        <rFont val="Noto Sans CJK SC"/>
        <family val="2"/>
      </rPr>
      <t xml:space="preserve">条只测代码节点（卖点溯源校验、规则检查、终稿复检）的确定性逻辑，不调用模型，结果每次都一样。</t>
    </r>
  </si>
  <si>
    <r>
      <rPr>
        <sz val="10"/>
        <rFont val="Arial"/>
        <family val="2"/>
        <charset val="1"/>
      </rPr>
      <t xml:space="preserve">5. </t>
    </r>
    <r>
      <rPr>
        <sz val="10"/>
        <rFont val="Noto Sans CJK SC"/>
        <family val="2"/>
      </rPr>
      <t xml:space="preserve">汇总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版本记录：指标自动计算；每次改提示词、规则或换模型，重跑后在版本记录里记一行。</t>
    </r>
  </si>
  <si>
    <t xml:space="preserve">怎么重跑</t>
  </si>
  <si>
    <t xml:space="preserve">合规样本：Dify 打开「合规关卡-评测」→ 测试运行 → 选商品、粘贴「原文」→ 开始运行 → 结果里看「是否判定违规」「规则初检命中」「终稿」。把结果填进黄色列。</t>
  </si>
  <si>
    <t xml:space="preserve">生成用例：Dify 打开「内容Agent-演示」→ 测试运行 → 按表填商品 / 平台 / 运营补充要求 → 开始运行 → 结果里看终稿、卖点溯源表、合规审核记录。</t>
  </si>
  <si>
    <t xml:space="preserve">颜色</t>
  </si>
  <si>
    <t xml:space="preserve">黄色列 = 需要人来判断的列。「人工复核」列逐条读过终稿后填写；「终稿打分」页的 5 个评分维度按「采纳度评分标准」页打分，采纳度会自动算。</t>
  </si>
  <si>
    <t xml:space="preserve">绿色 / 红色 = 通过 / 不通过（复核结论）。</t>
  </si>
  <si>
    <t xml:space="preserve">指标口径</t>
  </si>
  <si>
    <t xml:space="preserve">规则层命中率：违规样本中，规则初检命中 ≥1 处的比例（只看代码规则，不看模型）。</t>
  </si>
  <si>
    <t xml:space="preserve">关卡拦截成功率：违规样本中，被判定违规（规则命中或合规Agent已修改）且人工复核终稿「已改干净、没有引入新错误」的比例。</t>
  </si>
  <si>
    <t xml:space="preserve">规则误拦率：正常样本中，规则初检命中 ≥1 处的比例。</t>
  </si>
  <si>
    <t xml:space="preserve">模型误改率：正常样本中，合规审核Agent 给出「已修改」的比例（正常文案被改了也算误改，会拉低设计师采纳率）。</t>
  </si>
  <si>
    <t xml:space="preserve">卖点有依据率：采用的卖点 / 提炼的卖点（卖点溯源校验节点自动核对编号）。</t>
  </si>
  <si>
    <t xml:space="preserve">设计师采纳率：设计师采纳度为「直接用」或「小改」的比例。</t>
  </si>
  <si>
    <t xml:space="preserve">局限</t>
  </si>
  <si>
    <r>
      <rPr>
        <sz val="10"/>
        <rFont val="Arial"/>
        <family val="2"/>
        <charset val="1"/>
      </rPr>
      <t xml:space="preserve">1. </t>
    </r>
    <r>
      <rPr>
        <sz val="10"/>
        <rFont val="Noto Sans CJK SC"/>
        <family val="2"/>
      </rPr>
      <t xml:space="preserve">违规样本是我自己写的，和规则库、提示词出自同一个人，考题和答案同源，拦截率会偏乐观。真实业务要用法务驳回过的真实违规样本。</t>
    </r>
  </si>
  <si>
    <r>
      <rPr>
        <sz val="10"/>
        <rFont val="Arial"/>
        <family val="2"/>
        <charset val="1"/>
      </rPr>
      <t xml:space="preserve">2. </t>
    </r>
    <r>
      <rPr>
        <sz val="10"/>
        <rFont val="Noto Sans CJK SC"/>
        <family val="2"/>
      </rPr>
      <t xml:space="preserve">样本量小（违规 </t>
    </r>
    <r>
      <rPr>
        <sz val="10"/>
        <rFont val="Arial"/>
        <family val="2"/>
        <charset val="1"/>
      </rPr>
      <t xml:space="preserve">30 / </t>
    </r>
    <r>
      <rPr>
        <sz val="10"/>
        <rFont val="Noto Sans CJK SC"/>
        <family val="2"/>
      </rPr>
      <t xml:space="preserve">正常 </t>
    </r>
    <r>
      <rPr>
        <sz val="10"/>
        <rFont val="Arial"/>
        <family val="2"/>
        <charset val="1"/>
      </rPr>
      <t xml:space="preserve">18</t>
    </r>
    <r>
      <rPr>
        <sz val="10"/>
        <rFont val="Noto Sans CJK SC"/>
        <family val="2"/>
      </rPr>
      <t xml:space="preserve">），一条就是 </t>
    </r>
    <r>
      <rPr>
        <sz val="10"/>
        <rFont val="Arial"/>
        <family val="2"/>
        <charset val="1"/>
      </rPr>
      <t xml:space="preserve">3–5 </t>
    </r>
    <r>
      <rPr>
        <sz val="10"/>
        <rFont val="Noto Sans CJK SC"/>
        <family val="2"/>
      </rPr>
      <t xml:space="preserve">个百分点，只能看趋势，不能当精确指标。</t>
    </r>
  </si>
  <si>
    <r>
      <rPr>
        <sz val="10"/>
        <rFont val="Arial"/>
        <family val="2"/>
        <charset val="1"/>
      </rPr>
      <t xml:space="preserve">3. </t>
    </r>
    <r>
      <rPr>
        <sz val="10"/>
        <rFont val="Noto Sans CJK SC"/>
        <family val="2"/>
      </rPr>
      <t xml:space="preserve">采纳度要真设计师打分，这里是我代入设计师视角打的，会偏乐观。</t>
    </r>
  </si>
  <si>
    <r>
      <rPr>
        <sz val="10"/>
        <rFont val="Arial"/>
        <family val="2"/>
        <charset val="1"/>
      </rPr>
      <t xml:space="preserve">4. </t>
    </r>
    <r>
      <rPr>
        <sz val="10"/>
        <rFont val="Noto Sans CJK SC"/>
        <family val="2"/>
      </rPr>
      <t xml:space="preserve">品牌、商品、批准文号、评价全部虚构。</t>
    </r>
  </si>
  <si>
    <t xml:space="preserve">用例ID</t>
  </si>
  <si>
    <t xml:space="preserve">平台</t>
  </si>
  <si>
    <t xml:space="preserve">终稿全文（从 Dify 运行记录导出，v1.4）</t>
  </si>
  <si>
    <t xml:space="preserve">商品资料（对照「信息准确」用）</t>
  </si>
  <si>
    <t xml:space="preserve">① 信息准确</t>
  </si>
  <si>
    <t xml:space="preserve">② 平台适配</t>
  </si>
  <si>
    <t xml:space="preserve">③ 卖点抓取</t>
  </si>
  <si>
    <t xml:space="preserve">④ 调性与可读</t>
  </si>
  <si>
    <t xml:space="preserve">⑤ 主图需求单</t>
  </si>
  <si>
    <t xml:space="preserve">采纳度（自动）</t>
  </si>
  <si>
    <t xml:space="preserve">备注：哪里要改、为什么</t>
  </si>
  <si>
    <t xml:space="preserve">G01</t>
  </si>
  <si>
    <t xml:space="preserve">小红书笔记</t>
  </si>
  <si>
    <t xml:space="preserve">【标题】通勤包里塞得下的小橙片🍊
【正文】
最近把抽屉里的零嘴换成了这瓶元养维生素C咀嚼片，香橙味的，拧开盖子就是很清爽的橙子香气。
它是保健食品，批准的保健功能是补充维生素C，本品不能代替药物。我平时蔬菜水果吃得不太规律，就每天嚼一片，图个踏实。
口感是我喜欢的类型：酸甜但不齁，嚼起来不粘牙，有点像橙子糖。甜味来自木糖醇，不添加蔗糖。下午想吃点甜的时候，我就拿一片慢慢嚼。
每片含维生素C 100mg，每天1片就够，不用水送。开会前、地铁上、午饭后随手嚼一片，不用特意去找水杯。瓶高大概8cm，塞进通勤包侧袋不占地；一瓶60片，每天1片能吃两个月，出差也够带。
小提醒：它是营养素补充剂，按建议量吃就好，不用一把抓着当零食吃。
【话题标签】
#维生素C #元养 #通勤好物 #办公室零食 #日常营养
【主图需求单】
图1 | 浅木色桌面，瓶身正面清晰，旁边放两瓣切开的鲜橙，光线柔和 | 每天1片香橙味 | 卖点1、2
图2 | 手指捏起一片咀嚼片的近景，微距质感，背景虚化 | 酸甜好嚼不粘牙 | 卖点3、4
图3 | 通勤包侧袋里放着这瓶产品，办公室或地铁口场景 | 8cm装进通勤包 | 卖点6</t>
  </si>
  <si>
    <t xml:space="preserve">元养 维生素C咀嚼片（香橙味）
资质：保健食品｜批准功效：补充维生素C
批准文号：国食健注G20990001（虚构）
价格：59元/瓶（60片）
【商品参数】
参1：每片含维生素C 100mg
参2：规格：1.2g×60片，每日1片，嚼服
参3：香橙味，甜味来自木糖醇，不添加蔗糖
参4：适宜人群：需要补充维生素C的成人
参5：不适宜人群：少年儿童、孕妇、乳母
参6：瓶身小巧，高约8cm，可放进通勤包
【买家评价原话】（可以引用口感、包装、场景；身体变化类的感受不能当卖点）
评1：很好嚼，不粘牙，像小时候吃的橙子糖
评2：酸甜口，不会齁，办公室同事都问我要
评3：瓶子小，放包里每天想起来就吃一片
评4：吃了一个多月，感觉感冒都少了，抵抗力变好了
评5：皮肤好像也变白了一点，不知道是不是心理作用
评6：比药店买的便宜，60片能吃两个月
评7：无糖这点很加分，控糖期也敢吃
评8：物流很快，第二天就到了</t>
  </si>
  <si>
    <r>
      <rPr>
        <sz val="10"/>
        <rFont val="Noto Sans CJK SC"/>
        <family val="2"/>
      </rPr>
      <t xml:space="preserve">图 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</rPr>
      <t xml:space="preserve">，咀嚼片近景，体现不出酸甜好嚼不粘牙的卖点</t>
    </r>
  </si>
  <si>
    <t xml:space="preserve">G02</t>
  </si>
  <si>
    <t xml:space="preserve">抖音脚本</t>
  </si>
  <si>
    <t xml:space="preserve">【标题】维C补充，嚼一片就行
【脚本】
| 镜头 | 时长 | 画面 | 口播/字幕 |
|---|---|---|---|
| 1 | 0–3秒 | 特写：一只手从瓶里倒出一片橙色咀嚼片，指尖捏着凑近镜头 | 口播：想补充维生素C，真不用冲一杯，嚼一片就行。 |
| 2 | 3–8秒 | 产品正面摆拍，屏幕浮出“100mg”的信息条 | 口播：元养维生素C咀嚼片，每片含维生素C 100mg，含量写得清清楚楚，吃多少心里有数。 |
| 3 | 8–14秒 | 咀嚼片掰开特写，橙子果肉色纹理，背景是切开的橙子 | 口播：香橙味，酸甜适中不齁，嚼起来是清新的橙子味。 |
| 4 | 14–20秒 | 配料表特写，手指划过木糖醇一行；旁边放一杯白水 | 口播：甜味来自木糖醇，不添加蔗糖，甜度清爽，嚼着吃不腻。 |
| 5 | 20–24秒 | 侧脸咀嚼动作，咽下后自然一笑 | 口播：嚼着吃就行，不粘牙，不用水送也方便。 |
| 6 | 24–30秒 | 瓶子放在通勤包侧袋，拉链拉上，再切到桌面办公场景 | 口播：每天1片，一瓶60片；瓶高约8cm，塞进通勤包侧袋不占地，上班随手就能嚼一片。字幕：每天1片，一瓶60片；本品不能代替药物 |
【主图需求单】
1 | 白底产品正面图，瓶身标签清晰，旁边放一片咀嚼片 | 每片含维C 100mg | 卖点1
2 | 橙色咀嚼片掰开特写，背景虚化的橙子切片 | 香橙味，酸甜适中 | 卖点2
3 | 产品与通勤包同框，瓶子插在侧袋里，办公室桌面背景 | 放进包里，随手一片 | 卖点6、卖点7
4 | 白底产品图，画面下方信息条 | 本品不能代替药物 | 合规声明</t>
  </si>
  <si>
    <t xml:space="preserve">G03</t>
  </si>
  <si>
    <t xml:space="preserve">详情页卖点</t>
  </si>
  <si>
    <t xml:space="preserve">【标题】每天一片 香橙维C
【卖点模块】
1. 小标题：每片100mg
说明：每片含维生素C 100mg，含量清楚，日常补充心里有数。
建议配图：单片咀嚼片特写，旁边标注“100mg”信息卡，浅橙色调。
2. 小标题：一天一片
说明：每天嚼一片就行，酸甜香橙味，办公室随手来一片不费事。
建议配图：办公桌场景，瓶子与一片咀嚼片、一杯水，自然光。
3. 小标题：木糖醇甜味
说明：甜味来自木糖醇，不添加蔗糖，口感清甜。
建议配图：配料信息局部示意，木糖醇字样旁配橙子切片。
4. 小标题：好嚼不粘牙
说明：口感好嚼不粘牙，像橙子糖一样，嚼着轻松不费劲。
建议配图：咀嚼片掰开截面特写，展示细腻质地。
5. 小标题：小瓶好携带
说明：小瓶高约8cm，能放进通勤包；一瓶60片，每天一片够吃两个月。
建议配图：手持小瓶与通勤包同框，旁标“约8cm”“60片”。
本品不能代替药物。
【主图需求单】
图1 | 白底产品正面图，瓶身与几片咀嚼片散落，橙子元素点缀 | 每片100mg | 卖点1
图2 | 通勤包内小瓶与办公桌同框，生活场景自然光 | 小瓶随身带 | 卖点5
图3 | 瓶身侧面与“60片”信息卡同框，旁边一片咀嚼片 | 一瓶60片 | 卖点5</t>
  </si>
  <si>
    <r>
      <rPr>
        <sz val="10"/>
        <rFont val="Noto Sans CJK SC"/>
        <family val="2"/>
      </rPr>
      <t xml:space="preserve">图一场景对不上每片 </t>
    </r>
    <r>
      <rPr>
        <sz val="10"/>
        <rFont val="Arial"/>
        <family val="2"/>
        <charset val="134"/>
      </rPr>
      <t xml:space="preserve">100 </t>
    </r>
    <r>
      <rPr>
        <sz val="10"/>
        <rFont val="Noto Sans CJK SC"/>
        <family val="2"/>
      </rPr>
      <t xml:space="preserve">毫克的卖点</t>
    </r>
  </si>
  <si>
    <t xml:space="preserve">G04</t>
  </si>
  <si>
    <t xml:space="preserve">【标题】早餐或健身后，我冲一杯蛋白粉🥛
【正文】
我喝蛋白粉不算早，真正坚持下来是这两个场景：早上赶着出门，或者运动完回家不想折腾。冲一杯，配个面包或鸡蛋，早餐就解决了。
买之前我习惯先看蛋白含量标注。这款每份30克含蛋白质24克，数字写得清楚，冲泡时按量勺来就行。蛋白来源是进口浓缩乳清蛋白，配料表上能看到。
口味是我比较在意的点。香草味清淡不腻，不添加蔗糖，喝起来不会齁；冷水、温水都能冲，盖上盖子摇10秒基本就溶开了，不用等也不结块。
还有个细节挺戳我：勺子卡在盖子卡槽里，不会埋进粉里翻半天。900克一罐大概30份，罐内附量勺，算下来能喝一阵子。
不用把事情搞复杂，能坚持喝下去的那一杯，才是适合自己的。口味清淡、冲起来省事，对我来说就够了。
【话题标签】#蛋白粉分享 #早餐吃什么 #健身后补给 #乳清蛋白 #元养
【主图需求单】
图1 | 晨光下的浅色桌面，白瓷杯中倒入粉末与温水，杯口有轻微水汽，旁边放着罐体与量勺 | 温水摇10秒溶开 | 卖点4
图2 | 打开罐盖的俯拍特写，勺子稳稳卡在盖子内侧卡槽里，罐内粉末平整，旁边摆一支量勺 | 勺子卡在盖卡槽 | 卖点6
图3 | 一杯冲好的香草味蛋白饮居中，旁边配简洁信息卡片，标注每份30克含蛋白质24克 | 每份含24克蛋白质 | 卖点1</t>
  </si>
  <si>
    <t xml:space="preserve">元养 乳清蛋白粉（香草味，固体饮料）
资质：普通食品｜批准功效：无（不能写任何保健功效）
批准文号：无（普通食品，无保健功能批文）
价格：199元/罐（900g，约30份）
【商品参数】
参1：每份30g含蛋白质24g
参2：蛋白来源：进口浓缩乳清蛋白
参3：不添加蔗糖，香草味
参4：冷水、温水都能冲，摇杯摇10秒即可溶开
参5：规格：900g/罐，内附量勺
参6：食用建议：运动后或早餐时冲饮1份
【买家评价原话】（可以引用口感、包装、场景；身体变化类的感受不能当卖点）
评1：冷水一摇就开，没有结块，这点比之前买的强
评2：香草味很淡，不腻，加进燕麦里也好喝
评3：健身完喝一杯，很方便
评4：早餐来不及吃，冲一杯能顶到中午
评5：喝了一个月，换季居然没感冒，感觉抵抗力好了
评6：比某大牌便宜一半，品质差不多
评7：罐子密封好，勺子放在盖子卡槽里不会埋在粉里
评8：蛋白含量写得很清楚，24克一份算高的</t>
  </si>
  <si>
    <t xml:space="preserve">G05</t>
  </si>
  <si>
    <t xml:space="preserve">【标题】冷水也能冲的香草蛋白粉
【脚本】
| 镜头 | 时长 | 画面 | 口播/字幕 |
| --- | --- | --- | --- |
| 1 | 0–3s | 近景：摇摇杯里倒进冷水，加一勺粉，粉末落水特写 | 口播：用冷水冲蛋白粉，试试这杯 |
| 2 | 3–9s | 中景：盖上杯盖上下摇，秒针走过10秒，镜头切杯内壁 | 口播：摇10秒就化开，杯壁不挂粉块 |
| 3 | 9–15s | 特写：罐身营养成分表，手指点在「蛋白质24g」处 | 口播：每份蛋白质24g，罐上写得清清楚楚 |
| 4 | 15–20s | 特写：配料表与罐身英文标识，缓慢推近 | 口播：蛋白来自进口浓缩乳清蛋白 |
| 5 | 20–25s | 近景：开盖闻一下，喝一口，表情自然 | 口播：不添加蔗糖，香草味淡淡的，不腻 |
| 6 | 25–28s | 中景：900g大罐摆在台面，取出里面的量勺舀一勺 | 口播：900g一罐约30份，里面带量勺 |
| 7 | 28–30s | 两个快切场景：健身后放包旁、清晨餐桌上一杯 | 字幕：运动后、早餐时，摇一摇就能喝 |
【主图需求单】
图1 | 透明摇摇杯中冷水冲粉，粉末散开、杯壁干净，光线清透 | 冷水温水都能冲 | 卖点4
图2 | 罐身正面与量勺同框，标签「蛋白质24g/份」清晰可读 | 每份蛋白质24g | 卖点1、卖点5
图3 | 冲好的一杯奶白色饮品，旁边立着罐子，画面清淡 | 不添加蔗糖 香草淡淡 | 卖点3</t>
  </si>
  <si>
    <t xml:space="preserve">资料表没写罐身有英文标识</t>
  </si>
  <si>
    <t xml:space="preserve">G06</t>
  </si>
  <si>
    <t xml:space="preserve">【标题】元养乳清蛋白粉 香草味
【卖点模块】
模块1
小标题：每份24g蛋白质
说明：每份30g含蛋白质24g，含量在包装上标得清楚，方便对照日常所需。
建议配图：产品正面与营养成分表特写并排，成分表数字做高亮圈注。
模块2
小标题：进口浓缩乳清
说明：蛋白来自进口浓缩乳清蛋白，配料来源写得明白，选料这一项可以自己核对。
建议配图：罐体配料表近景，旁边放一勺干粉的质感特写。
模块3
小标题：不添加蔗糖
说明：不添加蔗糖，香草味淡而不腻，冲开是清爽的奶香，喝到底也不觉得齁。
建议配图：冲泡好的奶白色一杯，杯壁有水珠，背景干净。
模块4
小标题：10秒冲开
说明：冷水温水都能冲，摇10秒就化开，不用等也不用使劲搅，杯底不结块。
建议配图：摇摇杯手持摇晃的动作图，配一张冲开后杯内无颗粒的俯拍。
模块5
小标题：一罐约30份
说明：一罐900g约30份，内附量勺，勺子卡在盖子里不会埋在粉里；运动后或早餐时冲一杯，省事。
建议配图：开盖俯拍，量勺卡在盖内侧的特写＋整罐与一杯成品的组合图。
【主图需求单】
图1 | 产品罐正面居中，浅米色背景，旁边一杯冲好的香草味蛋白饮，光线柔和 | 香草味 每天一杯 | 卖点1、卖点3
图2 | 摇摇杯倾斜倒入冷水，粉迅速散开的水花瞬间抓拍 | 冷水温水 10秒冲开 | 卖点4
图3 | 开盖俯拍，量勺卡在盖子里，旁边一小堆干粉，画面干净 | 量勺卡盖 一罐约30份 | 卖点5、卖点6</t>
  </si>
  <si>
    <t xml:space="preserve">G07</t>
  </si>
  <si>
    <t xml:space="preserve">【标题】每天一粒辅酶Q10，随手放包里
【正文】
以前买这类东西最怕坚持不下来，瓶瓶罐罐摆一桌，吃两天就忘。后来换成元养这个辅酶Q10软胶囊，我的习惯是早餐后顺手吞一粒，一天就这一粒，不用记时间，也不用数颗数。出门塞进包里也不占地方。
每粒含辅酶Q10 50mg，这个数字包装上写着，看得见。软胶囊个头是真的小，我属于特别怕吞胶囊的人，这个一口就下去了，不用含着磨半天。也没有怪味，吃完打嗝不会返上一股味道，这一点对上班的人挺实用，开会前吃也不尴尬。
它是保健食品，批准功效写的是有助于抗氧化，本品不能代替药物。我按标签上的说明来，一天一粒，随餐吞服。瓶盖上有防伪码，扫一下能查到批次，长期吃的东西，能查清楚总归安心一点。
包装走的是简洁路线，不花哨。我给我妈也带了一瓶，她没多说什么，直接收进抽屉里了，送长辈不显得刻意，也不像在催人吃这吃那。
以上只是我自己的日常习惯，每个人情况不一样，按产品标签上的说明来就好。
【话题标签】
#辅酶Q10 #元养 #有助于抗氧化 #上班族日常 #送长辈的小心意
【主图需求单】
图1 | 浅木色桌面，瓶身立在画面右侧，左侧一颗小软胶囊放在指尖旁做大小参照，柔光 | 小颗软胶囊 | 卖点3
图2 | 早餐桌面场景，一杯温水、一小碟面包，一粒软胶囊放在碟边，画面干净 | 一天一粒 随餐 | 卖点2
图3 | 手拿瓶身，手机镜头对准瓶盖防伪码，扫码界面虚化在旁 | 扫码可查批次 | 卖点5</t>
  </si>
  <si>
    <t xml:space="preserve">元养 辅酶Q10软胶囊
资质：保健食品｜批准功效：有助于抗氧化
批准文号：国食健注G20990003（虚构）
价格：168元/瓶（60粒）
【商品参数】
参1：每粒含辅酶Q10 50mg
参2：规格：0.5g×60粒，每日1粒，随餐吞服
参3：软胶囊，粒径小，易吞咽
参4：保健功能：有助于抗氧化
参5：不适宜人群：少年儿童、孕妇、乳母
参6：瓶盖有防伪码，可扫码查验
【买家评价原话】（可以引用口感、包装、场景；身体变化类的感受不能当卖点）
评1：胶囊很小，一口就吞下去了
评2：没有怪味，打嗝也没有味道
评3：最近经常熬夜加班，吃了感觉精神好一些，没那么累了
评4：我爸心脏不太好，吃了之后说胸口舒服多了
评5：扫了防伪码，能查到批次，放心
评6：一天一粒，记得住，不麻烦
评7：包装简洁，送长辈也拿得出手
评8：客服回复很专业，问了适不适合我妈吃</t>
  </si>
  <si>
    <t xml:space="preserve">G08</t>
  </si>
  <si>
    <t xml:space="preserve">【标题】上班族的日常营养补充，一天一粒
【脚本】
| 镜头 | 时长 | 画面 | 口播/字幕 |
|---|---|---|---|
| 1 | 0–3s | 夜晚工位，键盘、外卖杯、台灯，人物抬头看时间 | 口播：晚上十点了，今天那粒营养补充，你吃了吗？ |
| 2 | 3–9s | 产品瓶身正面特写，镜头推近含量标示位置 | 口播：元养辅酶Q10软胶囊，每粒含辅酶Q10 50mg，含量标得清清楚楚。字幕：每粒50mg，标得清楚 |
| 3 | 9–15s | 倒出一粒在掌心，手指比一下大小，再配一杯水 | 口播：软胶囊个头小，一口水就吞下去了，吞咽不费劲。字幕：个头小，一口吞 |
| 4 | 15–21s | 餐桌场景，饭菜旁放瓶身，取一粒随餐服下 | 口播：一天一粒，随餐吞服，摆在餐桌上，不容易忘。吃着也没什么怪味，打嗝也没味道。字幕：一天一粒，随餐吞服 |
| 5 | 21–26s | 包装正面保健食品标志与批准功效信息，画面平稳推近 | 口播：它批准的保健功能是——有助于抗氧化。本品不能代替药物。字幕：批准功效：有助于抗氧化｜本品不能代替药物｜不适宜人群：少年儿童、孕妇、乳母 |
| 6 | 26–30s | 瓶盖防伪码扫码特写，转到简洁包装整体摆在桌面 | 口播：瓶盖上有防伪码，扫码能查批次；包装简洁，送爸妈也拿得出手。字幕：扫码可查批次 |
【主图需求单】
1 | 浅色干净背景，产品瓶身正面居中，旁边摆一粒软胶囊，光线柔和 | 每粒50mg ｜本品不能代替药物 | 卖点1
2 | 手掌心托着一粒小软胶囊，指尖轻触示意大小，背景留白 | 个头小 一口吞 | 卖点3
3 | 餐桌一角，饭菜与瓶身同框，一粒胶囊放在小碟上，暖光日常感 | 一天一粒 随餐 | 卖点5</t>
  </si>
  <si>
    <r>
      <rPr>
        <sz val="10"/>
        <rFont val="Noto Sans CJK SC"/>
        <family val="2"/>
      </rPr>
      <t xml:space="preserve">主图需求单里写每粒 </t>
    </r>
    <r>
      <rPr>
        <sz val="10"/>
        <rFont val="FangSong"/>
        <family val="3"/>
        <charset val="134"/>
      </rPr>
      <t xml:space="preserve">50 </t>
    </r>
    <r>
      <rPr>
        <sz val="10"/>
        <rFont val="Noto Sans CJK SC"/>
        <family val="2"/>
      </rPr>
      <t xml:space="preserve">毫克，但资料显示商品参数是每粒含辅酶 </t>
    </r>
    <r>
      <rPr>
        <sz val="10"/>
        <rFont val="FangSong"/>
        <family val="3"/>
        <charset val="134"/>
      </rPr>
      <t xml:space="preserve">Q10 50 </t>
    </r>
    <r>
      <rPr>
        <sz val="10"/>
        <rFont val="Noto Sans CJK SC"/>
        <family val="2"/>
      </rPr>
      <t xml:space="preserve">毫克，规格是 </t>
    </r>
    <r>
      <rPr>
        <sz val="10"/>
        <rFont val="FangSong"/>
        <family val="3"/>
        <charset val="134"/>
      </rPr>
      <t xml:space="preserve">0.5 </t>
    </r>
    <r>
      <rPr>
        <sz val="10"/>
        <rFont val="Noto Sans CJK SC"/>
        <family val="2"/>
      </rPr>
      <t xml:space="preserve">克
【</t>
    </r>
    <r>
      <rPr>
        <sz val="10"/>
        <rFont val="Noto Sans CJK SC"/>
        <family val="2"/>
      </rPr>
      <t xml:space="preserve">复核，改为 ①</t>
    </r>
    <r>
      <rPr>
        <sz val="10"/>
        <rFont val="FangSong"/>
        <family val="3"/>
        <charset val="134"/>
      </rPr>
      <t xml:space="preserve">3 ⑤2</t>
    </r>
    <r>
      <rPr>
        <sz val="10"/>
        <rFont val="Noto Sans CJK SC"/>
        <family val="2"/>
      </rPr>
      <t xml:space="preserve">】正文「每粒含辅酶</t>
    </r>
    <r>
      <rPr>
        <sz val="10"/>
        <rFont val="FangSong"/>
        <family val="3"/>
        <charset val="134"/>
      </rPr>
      <t xml:space="preserve">Q10 50mg</t>
    </r>
    <r>
      <rPr>
        <sz val="10"/>
        <rFont val="Noto Sans CJK SC"/>
        <family val="2"/>
      </rPr>
      <t xml:space="preserve">」和参</t>
    </r>
    <r>
      <rPr>
        <sz val="10"/>
        <rFont val="FangSong"/>
        <family val="3"/>
        <charset val="134"/>
      </rPr>
      <t xml:space="preserve">1 </t>
    </r>
    <r>
      <rPr>
        <sz val="10"/>
        <rFont val="Noto Sans CJK SC"/>
        <family val="2"/>
      </rPr>
      <t xml:space="preserve">一致，信息是对的；问题在主图文案缩写成「每粒</t>
    </r>
    <r>
      <rPr>
        <sz val="10"/>
        <rFont val="FangSong"/>
        <family val="3"/>
        <charset val="134"/>
      </rPr>
      <t xml:space="preserve">50mg</t>
    </r>
    <r>
      <rPr>
        <sz val="10"/>
        <rFont val="Noto Sans CJK SC"/>
        <family val="2"/>
      </rPr>
      <t xml:space="preserve">」，容易被看成胶囊重 </t>
    </r>
    <r>
      <rPr>
        <sz val="10"/>
        <rFont val="FangSong"/>
        <family val="3"/>
        <charset val="134"/>
      </rPr>
      <t xml:space="preserve">50mg</t>
    </r>
    <r>
      <rPr>
        <sz val="10"/>
        <rFont val="Noto Sans CJK SC"/>
        <family val="2"/>
      </rPr>
      <t xml:space="preserve">（实际 </t>
    </r>
    <r>
      <rPr>
        <sz val="10"/>
        <rFont val="FangSong"/>
        <family val="3"/>
        <charset val="134"/>
      </rPr>
      <t xml:space="preserve">0.5g</t>
    </r>
    <r>
      <rPr>
        <sz val="10"/>
        <rFont val="Noto Sans CJK SC"/>
        <family val="2"/>
      </rPr>
      <t xml:space="preserve">），属于主图文案有歧义，和 </t>
    </r>
    <r>
      <rPr>
        <sz val="10"/>
        <rFont val="FangSong"/>
        <family val="3"/>
        <charset val="134"/>
      </rPr>
      <t xml:space="preserve">G15</t>
    </r>
    <r>
      <rPr>
        <sz val="10"/>
        <rFont val="Noto Sans CJK SC"/>
        <family val="2"/>
      </rPr>
      <t xml:space="preserve">「每瓶</t>
    </r>
    <r>
      <rPr>
        <sz val="10"/>
        <rFont val="FangSong"/>
        <family val="3"/>
        <charset val="134"/>
      </rPr>
      <t xml:space="preserve">5000mg</t>
    </r>
    <r>
      <rPr>
        <sz val="10"/>
        <rFont val="Noto Sans CJK SC"/>
        <family val="2"/>
      </rPr>
      <t xml:space="preserve">」同一类，扣在⑤。</t>
    </r>
  </si>
  <si>
    <t xml:space="preserve">G09</t>
  </si>
  <si>
    <t xml:space="preserve">【标题】一天一粒 有助于抗氧化
【卖点模块】
| 模块 | 小标题 | 说明 | 建议配图 |
|---|---|---|---|
| 1 | 有助于抗氧化 | 本品的批准保健功能为“有助于抗氧化”，相应的保健功能声称，均有明确的批准文号依据（国食健注G20990003）。本品不能代替药物。 | 瓶身正面与批准文号信息区清晰同框，浅米色背景，光线干净 |
| 2 | 每粒50mg | 每粒含辅酶Q10 50mg，含量清楚标在包装上，日常按建议量食用即可。 | 包装成分与含量标示处局部特写，配一颗软胶囊作参照 |
| 3 | 一天一粒 | 一天一粒，随餐吞服，习惯放在餐桌边或随身包里，不太容易忘。 | 早餐桌场景：水杯、餐盘旁放着瓶子与一粒胶囊 |
| 4 | 小粒好吞不返味 | 软胶囊个头小，一口就能吞下去；没有怪味，吃完打嗝也没味道。 | 手掌心托两粒软胶囊的近景，与指尖大小作对比 |
| 5 | 扫码可查 | 瓶盖带防伪码，扫码可查批次；60粒一瓶，包装简洁，送长辈拿得出手。 | 手机扫描瓶盖防伪码的动作特写，屏幕显示查询页面 |
【主图需求单】
| 图序 | 画面描述 | 图上文案 | 对应卖点编号 |
|---|---|---|---|
| 1 | 产品瓶身正面居中，柔和米色背景，瓶旁放一粒软胶囊，整体干净温和；画面角部以小字标注“本品不能代替药物” | 有助于抗氧化（小字：本品不能代替药物） | 卖点1 |
| 2 | 手掌心平托两粒小软胶囊，指尖轻托，突出体积小、好吞 | 小粒好吞 | 卖点4 |
| 3 | 手机靠近瓶盖扫描防伪码，画面可见瓶盖码区，明亮自然光 | 扫码可查批次 | 卖点5 |</t>
  </si>
  <si>
    <r>
      <rPr>
        <sz val="10"/>
        <rFont val="Noto Sans CJK SC"/>
        <family val="2"/>
      </rPr>
      <t xml:space="preserve">国食健注 </t>
    </r>
    <r>
      <rPr>
        <sz val="10"/>
        <rFont val="FangSong"/>
        <family val="3"/>
        <charset val="134"/>
      </rPr>
      <t xml:space="preserve">G20990003 </t>
    </r>
    <r>
      <rPr>
        <sz val="10"/>
        <rFont val="Noto Sans CJK SC"/>
        <family val="2"/>
      </rPr>
      <t xml:space="preserve">在商品资料里没找到，而且这一条有点像说明书
【</t>
    </r>
    <r>
      <rPr>
        <sz val="10"/>
        <rFont val="Noto Sans CJK SC"/>
        <family val="2"/>
      </rPr>
      <t xml:space="preserve">复核，改为 ①</t>
    </r>
    <r>
      <rPr>
        <sz val="10"/>
        <rFont val="FangSong"/>
        <family val="3"/>
        <charset val="134"/>
      </rPr>
      <t xml:space="preserve">3</t>
    </r>
    <r>
      <rPr>
        <sz val="10"/>
        <rFont val="Noto Sans CJK SC"/>
        <family val="2"/>
      </rPr>
      <t xml:space="preserve">】批准文号在 </t>
    </r>
    <r>
      <rPr>
        <sz val="10"/>
        <rFont val="FangSong"/>
        <family val="3"/>
        <charset val="134"/>
      </rPr>
      <t xml:space="preserve">Dify </t>
    </r>
    <r>
      <rPr>
        <sz val="10"/>
        <rFont val="Noto Sans CJK SC"/>
        <family val="2"/>
      </rPr>
      <t xml:space="preserve">给模型的资料里有，是我整理 </t>
    </r>
    <r>
      <rPr>
        <sz val="10"/>
        <rFont val="FangSong"/>
        <family val="3"/>
        <charset val="134"/>
      </rPr>
      <t xml:space="preserve">Excel </t>
    </r>
    <r>
      <rPr>
        <sz val="10"/>
        <rFont val="Noto Sans CJK SC"/>
        <family val="2"/>
      </rPr>
      <t xml:space="preserve">时漏放了（已补进第 </t>
    </r>
    <r>
      <rPr>
        <sz val="10"/>
        <rFont val="FangSong"/>
        <family val="3"/>
        <charset val="134"/>
      </rPr>
      <t xml:space="preserve">4 </t>
    </r>
    <r>
      <rPr>
        <sz val="10"/>
        <rFont val="Noto Sans CJK SC"/>
        <family val="2"/>
      </rPr>
      <t xml:space="preserve">列和「商品资料」页），所以不算编造。「像说明书」扣在②或④都可以，保留原来的②</t>
    </r>
    <r>
      <rPr>
        <sz val="10"/>
        <rFont val="FangSong"/>
        <family val="3"/>
        <charset val="134"/>
      </rPr>
      <t xml:space="preserve">2</t>
    </r>
    <r>
      <rPr>
        <sz val="10"/>
        <rFont val="Noto Sans CJK SC"/>
        <family val="2"/>
      </rPr>
      <t xml:space="preserve">。</t>
    </r>
  </si>
  <si>
    <t xml:space="preserve">G10</t>
  </si>
  <si>
    <t xml:space="preserve">【标题】出差包里常备的小条益生菌🥛
【正文】
我一年有大半时间在出差，行李箱常年是半开的状态。瓶瓶罐罐带多了嫌重，后来习惯在包里固定塞几条元养这款益生菌固体饮料，独立小条装，随手一放就走，不占地方也不怕漏。
每条2g，包装上写得出厂活菌数≥100亿CFU，这个数字是我买这类东西之前会特意翻包装确认的。里面是乳双歧杆菌和嗜酸乳杆菌两种菌株，另外添加了低聚果糖，配料表看下来清清爽爽，自己能看懂。
吃法我很喜欢：酸奶味，赶时间的时候直接倒嘴里，酸酸甜甜的，不用冲水也能吃完；想慢慢喝就用40℃以下的温水冲开，搅一搅没有沉淀，早上在酒店烧好水放温，冲一杯端着出门刚好。
一盒20条，一天一条能吃大半个月，不用总惦记着补货，这点对记性不太好的人很友好。我把它放在早餐后，当每天的一个小习惯，慢慢来就好，不给自己加任务。
选这类东西我的习惯是看两件事：包装上标明的活菌数、配料表里的菌株，看清楚再买，心里有数。以上只是我自己的日常分享，大家按自己的节奏来就好。
【话题标签】
#元养 #益生菌固体饮料 #酸奶味 #独立小包装 #出差好物
【主图需求单】
图1 | 白色桌面上一盒元养益生菌固体饮料，旁边散落两条独立小条装，晨光斜照，画面干净 | 每盒20条 | 卖点7
图2 | 手撕开一条小条，把粉末直接倒进嘴里，逆光拍摄，突出酸奶白粉末质感 | 酸奶味 直接倒嘴吃 | 卖点4
图3 | 透明玻璃杯里温水冲开，杯壁无沉淀，旁边放一条包装和一支温度计示意40℃ | 40℃以下温水冲 | 卖点5</t>
  </si>
  <si>
    <t xml:space="preserve">元养 益生菌固体饮料（酸奶味）
资质：普通食品｜批准功效：无（不能写任何保健功效）
批准文号：无（普通食品，无保健功能批文）
价格：89元/盒（2g×20条）
【商品参数】
参1：每条2g，出厂时益生菌活菌数≥100亿CFU
参2：菌株：乳双歧杆菌、嗜酸乳杆菌
参3：添加低聚果糖
参4：酸奶味，可直接吃，也可用40℃以下温水冲
参5：独立条装：2g×20条
参6：常温储存，避免阳光直射
【买家评价原话】（可以引用口感、包装、场景；身体变化类的感受不能当卖点）
评1：酸奶味的，直接倒嘴里吃也好吃
评2：小条装出差带着很方便
评3：坚持喝了两周，便秘好多了，每天都很顺
评4：生产日期很新鲜，是上个月的
评5：温水冲开没有沉淀
评6：家里人都爱吃这个口味
评7：活菌数写在包装上，比较透明
评8：一盒20条，一天一条刚好吃大半个月</t>
  </si>
  <si>
    <t xml:space="preserve">G11</t>
  </si>
  <si>
    <t xml:space="preserve">【标题】出差包里塞几条酸奶味小条
【脚本】
| 镜头 | 时长 | 画面 | 口播/字幕 |
| 1 | 3s | 出差收拾背包，手拿一条元养小条放进侧袋 | 口播：经常出差，包里想带点小条装？这条酸奶味小条，我随手塞几条。字幕：出差包里塞几条 |
| 2 | 5s | 产品盒和小条特写，包装上“每条2g”与“出厂活菌数≥100亿CFU”清晰可见 | 口播：这是元养益生菌固体饮料，酸奶味；每条2g，出厂活菌数≥100亿CFU。字幕：每条2g / 出厂活菌数≥100亿CFU |
| 3 | 5s | 配料表特写，画面标出两种菌株和低聚果糖 | 口播：配料里有乳双歧杆菌、嗜酸乳杆菌两种菌株，还添加了低聚果糖。字幕：两种菌株 / 添加低聚果糖 |
| 4 | 6s | 撕开小条，直接倒入口中，表情自然 | 口播：赶时间的时候，撕开直接倒嘴里，酸奶味，也好吃。字幕：酸奶味 直接倒嘴 |
| 5 | 6s | 透明杯中倒入40℃以下温水，加入粉末搅拌，杯壁干净 | 口播：想冲开喝，用40℃以下温水，搅一搅，不结块无沉淀。字幕：40℃以下温水冲开 |
| 6 | 5s | 一盒20条和独立小条摆放，背包入镜 | 口播：一盒20条，一天一条能吃大半个月；独立小条装，出差随身带方便。字幕：一盒20条 / 独立小条装 |
【主图需求单】
| 图序 | 画面描述 | 图上文案（10字以内） | 对应卖点编号 |
| 1 | 产品盒与独立小条正面摆拍，旁边放透明杯，包装信息清晰 | 出厂活菌≥100亿 | 卖点1 |
| 2 | 透明杯冲饮特写，粉末入温水，搅拌后杯壁干净 | 40℃以下温水冲开 | 卖点5 |
| 3 | 出差背包侧袋露出独立小条，旁边放20条盒装 | 20条装 出差带 | 卖点6、卖点7 |</t>
  </si>
  <si>
    <t xml:space="preserve">G12</t>
  </si>
  <si>
    <t xml:space="preserve">【标题】
元养益生菌固体饮料 酸奶味
【卖点模块】
模块一
小标题：每条出厂活菌≥100亿CFU
说明：每条2g，出厂活菌数≥100亿CFU，包装上标得清楚，买之前可以自己看一眼。
建议配图：单条产品与包装标注特写平铺，浅色背景，重点露出“出厂活菌数≥100亿CFU”字样。
模块二
小标题：两种菌株搭配
说明：乳双歧杆菌、嗜酸乳杆菌两种菌株，配方写得明明白白，日常补充也好记。
建议配图：配料表特写，菌株名称用细线标注，配干净的白灰底色。
模块三
小标题：添加低聚果糖
说明：配料里添加了低聚果糖，和两种菌株放在一起，翻到包装背面就能看到。
建议配图：包装背面配料表与低聚果糖字样特写，旁边放一小勺粉末做质感衬托。
模块四
小标题：酸奶味 好冲泡
说明：酸奶味，直接倒嘴里也好吃；40℃以下温水冲，冲开没有沉淀，喝着顺口。
建议配图：透明玻璃杯冲调过程图，粉末倒入水中、杯壁干净无挂壁，旁边放一条产品。
模块五
小标题：小条装 20条/盒
说明：独立小条装，出差随手放进包里；一盒20条，一天一条能吃大半个月。
建议配图：小条装放入通勤包/行李箱夹层的场景图，旁边摆一盒产品展示20条装量。
【主图需求单】
图1 | 白瓷盘上倒出酸奶味粉末，一条产品斜放在旁，浅木色台面自然光 | 酸奶味 直接吃 | 卖点4
图2 | 手拿两条产品放进通勤包侧袋，背景是行李箱与桌面一角 | 小条装 好携带 | 卖点6
图3 | 产品盒与小条装并排，背面配料表朝向镜头清晰可见 | 配料看得明白 | 卖点1、2、3</t>
  </si>
  <si>
    <t xml:space="preserve">G13</t>
  </si>
  <si>
    <t xml:space="preserve">【标题】通勤包里那瓶樱桃味的小瓶子🍒
【正文】
我包里现在常年塞着一瓶50ml的小东西。早上赶地铁来不及慢慢吃早餐，到公司坐下先喝两口，酸甜的樱桃味，心情会好一点。
看成分比较实在：每瓶50ml含胶原蛋白肽5000mg，配方里还添加了维生素C。我买饮品习惯先翻背面看配料表，写得清楚明白，喝着才放心。
我一直不太敢碰带腥味的饮品，这个樱桃味处理得不错，喝下去是果味，没有那种怪味道，而且0脂肪，这点瓶身上就写着。冷藏之后口感更好，我一般前一晚放进冰箱，第二天出门顺手带走，喝着像果汁一样，天气热的时候挺舒服。
瓶子是小玻璃瓶，拿在手里有质感，喝完我还留着插小东西。它还有礼盒装，上个月给闺蜜带了一盒，包装拿得出手，她说摆在办公桌上挺好看。
对我来说，它就是一瓶口味对、带着方便的日常饮品，50ml放在包里不占地儿，上班带一瓶刚好。
【话题标签】
#胶原蛋白肽饮 #樱桃味饮料 #上班族日常 #随身小瓶装 #闺蜜礼物
【主图需求单】
图1 | 小玻璃瓶正面特写，瓶身旁边放两颗新鲜樱桃，浅色桌面自然光 | 胶原蛋白肽5000mg | 卖点1
图2 | 通勤场景：打开的通勤包，手从包里取出一瓶50ml小瓶装 | 50ml一支随身带 | 卖点4
图3 | 冰箱取出后倒入玻璃杯，杯壁带水珠，樱桃点缀 | 0脂肪 樱桃味不腥 | 卖点3</t>
  </si>
  <si>
    <t xml:space="preserve">元养 胶原蛋白肽饮（樱桃味）
资质：普通食品｜批准功效：无（不能写任何保健功效）
批准文号：无（普通食品，无保健功能批文）
价格：129元/盒（50ml×10瓶）
【商品参数】
参1：每瓶50ml含胶原蛋白肽5000mg
参2：添加维生素C
参3：0脂肪，樱桃味
参4：规格：50ml×10瓶
参5：冷藏后口感更好，开封后请尽快饮用
参6：小瓶玻璃装，礼盒包装
【买家评价原话】（可以引用口感、包装、场景；身体变化类的感受不能当卖点）
评1：樱桃味很好喝，一点都不腥
评2：小瓶一口喝完，上班带一瓶刚好
评3：喝了半个月，皮肤白了，眼角细纹也少了
评4：礼盒很好看，送闺蜜很有面子
评5：冰过之后更好喝，像果汁
评6：5000mg的含量在同价位里算高的
评7：玻璃瓶有点重，但是质感好
评8：配料表挺干净的</t>
  </si>
  <si>
    <t xml:space="preserve">G14</t>
  </si>
  <si>
    <t xml:space="preserve">【标题】怕腥味的姐妹，这瓶樱桃味我常带
【脚本】
| 镜头 | 时长 | 画面 | 口播/字幕 |
| --- | --- | --- | --- |
| 1 | 0–3s | 通勤包里掏出一瓶 50ml 小瓶，放上办公桌，手指敲了敲瓶身 | 口播：胶原蛋白肽，我为什么偏偏选这一瓶？字幕：怕腥的往下看 |
| 2 | 3–8s | 拧开瓶盖，倒进透明杯，樱桃色液体流下，近景 | 口播：先说味道，樱桃味，喝起来不腥。字幕：樱桃味 · 不腥 |
| 3 | 8–14s | 瓶身标签特写，手指点过配料信息 | 口播：一瓶 5000mg 胶原蛋白肽，还加了维生素 C。字幕：5000mg 胶原蛋白肽 + 维生素C |
| 4 | 14–19s | 标签另一侧特写，手掌托住瓶身展示小巧 | 口播：0 脂肪配方，喝着不腻。字幕：0 脂肪配方 |
| 5 | 19–24s | 从冰箱冷藏层取出，喝一口，放回桌面 | 口播：我习惯冷藏，冰过更好喝，像果汁。字幕：冷藏后更好喝 |
| 6 | 24–30s | 小瓶塞进包里侧袋；切礼盒装摆拍，递到镜头前 | 口播：50ml 小瓶，上班带一瓶刚好；礼盒装送闺蜜也拿得出手。字幕：上班带一瓶 · 礼盒装送人 |
【主图需求单】
1 | 办公桌与通勤包旁立着一瓶 50ml 小瓶，晨光柔和 | 50ml 上班带一瓶 | 卖点5
2 | 樱桃色液体倒入透明杯，浅色桌面背景，不摆其他食材道具 | 樱桃味 喝着不腥 | 卖点2
3 | 礼盒装打开平铺展示，系带与瓶身排列整齐 | 礼盒装送闺蜜 | 卖点7</t>
  </si>
  <si>
    <t xml:space="preserve">G15</t>
  </si>
  <si>
    <t xml:space="preserve">【标题】元养胶原蛋白肽饮 樱桃味
【卖点模块】
模块一
小标题：每瓶5000mg
说明：每瓶50ml含5000mg胶原蛋白肽，买前就能看明白。
建议配图：瓶身正面特写，旁边配「5000mg」数字卡片，浅色背景。
模块二
小标题：加了维生素C
说明：配料表里添加了维生素C，和胶原蛋白肽一起写在成分中，喝得清楚。
建议配图：配料表局部放大实拍，维生素C一行用浅色标记笔圈出。
模块三
小标题：0脂肪
说明：0脂肪配方，日常当一瓶饮品喝，不用额外算来算去。
建议配图：营养成分表实拍特写，手指指向脂肪一栏。
模块四
小标题：樱桃味不腥
说明：樱桃味，不腥好入口；放冰箱冷藏后更好喝，像喝果汁一样。
建议配图：冰镇后瓶身挂水珠的场景图，旁边放几颗樱桃。
模块五
小标题：小瓶好带
说明：50ml小瓶，上班带一瓶刚好；玻璃小瓶配礼盒，送闺蜜也体面。
建议配图：通勤包侧袋插一瓶 + 礼盒打开平铺图，两图拼接。
【主图需求单】
图1 ｜ 浅色背景下瓶身正面居中，右侧浮出「5000mg」数字卡片，画面干净通透 ｜ 每瓶5000mg ｜ 卖点1
图2 ｜ 冰镇瓶身带水珠，配几颗新鲜樱桃，冷色调，突出清爽感 ｜ 樱桃味 不腥 ｜ 卖点4
图3 ｜ 通勤包侧袋插着一瓶，旁边摆打开的礼盒，自然光生活场景 ｜ 50ml 随手带 ｜ 卖点5</t>
  </si>
  <si>
    <r>
      <rPr>
        <sz val="10"/>
        <rFont val="Noto Sans CJK SC"/>
        <family val="2"/>
      </rPr>
      <t xml:space="preserve">主图需求单里面图一，“每瓶 </t>
    </r>
    <r>
      <rPr>
        <sz val="10"/>
        <rFont val="FangSong"/>
        <family val="3"/>
        <charset val="134"/>
      </rPr>
      <t xml:space="preserve">5000 </t>
    </r>
    <r>
      <rPr>
        <sz val="10"/>
        <rFont val="Noto Sans CJK SC"/>
        <family val="2"/>
      </rPr>
      <t xml:space="preserve">毫克”有歧义。产品参数是：每瓶 </t>
    </r>
    <r>
      <rPr>
        <sz val="10"/>
        <rFont val="FangSong"/>
        <family val="3"/>
        <charset val="134"/>
      </rPr>
      <t xml:space="preserve">50 </t>
    </r>
    <r>
      <rPr>
        <sz val="10"/>
        <rFont val="Noto Sans CJK SC"/>
        <family val="2"/>
      </rPr>
      <t xml:space="preserve">毫升，含胶原蛋白肽 </t>
    </r>
    <r>
      <rPr>
        <sz val="10"/>
        <rFont val="FangSong"/>
        <family val="3"/>
        <charset val="134"/>
      </rPr>
      <t xml:space="preserve">5000 </t>
    </r>
    <r>
      <rPr>
        <sz val="10"/>
        <rFont val="Noto Sans CJK SC"/>
        <family val="2"/>
      </rPr>
      <t xml:space="preserve">毫克</t>
    </r>
  </si>
  <si>
    <t xml:space="preserve">怎么用：读第 3 列的终稿，对照第 4 列的商品资料，在黄色格子里给 5 个维度各选 1–3 分（标准见「采纳度评分标准」页）；第 10 列自动给出 直接用 / 小改 / 重写，「汇总」页的采纳率会自动更新。这里故意没放运营补充要求和是否诱导，先打分再去「生成用例」页看，避免先入为主。</t>
  </si>
  <si>
    <t xml:space="preserve">编号</t>
  </si>
  <si>
    <t xml:space="preserve">商品名称</t>
  </si>
  <si>
    <t xml:space="preserve">资质</t>
  </si>
  <si>
    <t xml:space="preserve">批准功效</t>
  </si>
  <si>
    <t xml:space="preserve">价格</t>
  </si>
  <si>
    <t xml:space="preserve">商品参数</t>
  </si>
  <si>
    <t xml:space="preserve">买家评价原话</t>
  </si>
  <si>
    <t xml:space="preserve">P01</t>
  </si>
  <si>
    <t xml:space="preserve">元养 维生素C咀嚼片（香橙味）</t>
  </si>
  <si>
    <t xml:space="preserve">保健食品
批准文号：国食健注G20990001（虚构）</t>
  </si>
  <si>
    <t xml:space="preserve">补充维生素C</t>
  </si>
  <si>
    <r>
      <rPr>
        <sz val="10"/>
        <rFont val="Arial"/>
        <family val="2"/>
        <charset val="1"/>
      </rPr>
      <t xml:space="preserve">59</t>
    </r>
    <r>
      <rPr>
        <sz val="10"/>
        <rFont val="Noto Sans CJK SC"/>
        <family val="2"/>
      </rPr>
      <t xml:space="preserve">元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瓶（</t>
    </r>
    <r>
      <rPr>
        <sz val="10"/>
        <rFont val="Arial"/>
        <family val="2"/>
        <charset val="1"/>
      </rPr>
      <t xml:space="preserve">60</t>
    </r>
    <r>
      <rPr>
        <sz val="10"/>
        <rFont val="Noto Sans CJK SC"/>
        <family val="2"/>
      </rPr>
      <t xml:space="preserve">片）</t>
    </r>
  </si>
  <si>
    <t xml:space="preserve">参1：每片含维生素C 100mg
参2：规格：1.2g×60片，每日1片，嚼服
参3：香橙味，甜味来自木糖醇，不添加蔗糖
参4：适宜人群：需要补充维生素C的成人
参5：不适宜人群：少年儿童、孕妇、乳母
参6：瓶身小巧，高约8cm，可放进通勤包</t>
  </si>
  <si>
    <t xml:space="preserve">评1：很好嚼，不粘牙，像小时候吃的橙子糖
评2：酸甜口，不会齁，办公室同事都问我要
评3：瓶子小，放包里每天想起来就吃一片
评4：吃了一个多月，感觉感冒都少了，抵抗力变好了
评5：皮肤好像也变白了一点，不知道是不是心理作用
评6：比药店买的便宜，60片能吃两个月
评7：无糖这点很加分，控糖期也敢吃
评8：物流很快，第二天就到了</t>
  </si>
  <si>
    <t xml:space="preserve">P02</t>
  </si>
  <si>
    <t xml:space="preserve">元养 乳清蛋白粉（香草味，固体饮料）</t>
  </si>
  <si>
    <t xml:space="preserve">普通食品
批准文号：无（普通食品，无保健功能批文）</t>
  </si>
  <si>
    <t xml:space="preserve">无（不能写任何保健功效）</t>
  </si>
  <si>
    <r>
      <rPr>
        <sz val="10"/>
        <rFont val="Arial"/>
        <family val="2"/>
        <charset val="1"/>
      </rPr>
      <t xml:space="preserve">199</t>
    </r>
    <r>
      <rPr>
        <sz val="10"/>
        <rFont val="Noto Sans CJK SC"/>
        <family val="2"/>
      </rPr>
      <t xml:space="preserve">元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罐（</t>
    </r>
    <r>
      <rPr>
        <sz val="10"/>
        <rFont val="Arial"/>
        <family val="2"/>
        <charset val="1"/>
      </rPr>
      <t xml:space="preserve">900g</t>
    </r>
    <r>
      <rPr>
        <sz val="10"/>
        <rFont val="Noto Sans CJK SC"/>
        <family val="2"/>
      </rPr>
      <t xml:space="preserve">，约</t>
    </r>
    <r>
      <rPr>
        <sz val="10"/>
        <rFont val="Arial"/>
        <family val="2"/>
        <charset val="1"/>
      </rPr>
      <t xml:space="preserve">30</t>
    </r>
    <r>
      <rPr>
        <sz val="10"/>
        <rFont val="Noto Sans CJK SC"/>
        <family val="2"/>
      </rPr>
      <t xml:space="preserve">份）</t>
    </r>
  </si>
  <si>
    <t xml:space="preserve">参1：每份30g含蛋白质24g
参2：蛋白来源：进口浓缩乳清蛋白
参3：不添加蔗糖，香草味
参4：冷水、温水都能冲，摇杯摇10秒即可溶开
参5：规格：900g/罐，内附量勺
参6：食用建议：运动后或早餐时冲饮1份</t>
  </si>
  <si>
    <t xml:space="preserve">评1：冷水一摇就开，没有结块，这点比之前买的强
评2：香草味很淡，不腻，加进燕麦里也好喝
评3：健身完喝一杯，很方便
评4：早餐来不及吃，冲一杯能顶到中午
评5：喝了一个月，换季居然没感冒，感觉抵抗力好了
评6：比某大牌便宜一半，品质差不多
评7：罐子密封好，勺子放在盖子卡槽里不会埋在粉里
评8：蛋白含量写得很清楚，24克一份算高的</t>
  </si>
  <si>
    <t xml:space="preserve">P03</t>
  </si>
  <si>
    <t xml:space="preserve">元养 辅酶Q10软胶囊</t>
  </si>
  <si>
    <t xml:space="preserve">保健食品
批准文号：国食健注G20990003（虚构）</t>
  </si>
  <si>
    <t xml:space="preserve">有助于抗氧化</t>
  </si>
  <si>
    <r>
      <rPr>
        <sz val="10"/>
        <rFont val="Arial"/>
        <family val="2"/>
        <charset val="1"/>
      </rPr>
      <t xml:space="preserve">168</t>
    </r>
    <r>
      <rPr>
        <sz val="10"/>
        <rFont val="Noto Sans CJK SC"/>
        <family val="2"/>
      </rPr>
      <t xml:space="preserve">元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瓶（</t>
    </r>
    <r>
      <rPr>
        <sz val="10"/>
        <rFont val="Arial"/>
        <family val="2"/>
        <charset val="1"/>
      </rPr>
      <t xml:space="preserve">60</t>
    </r>
    <r>
      <rPr>
        <sz val="10"/>
        <rFont val="Noto Sans CJK SC"/>
        <family val="2"/>
      </rPr>
      <t xml:space="preserve">粒）</t>
    </r>
  </si>
  <si>
    <t xml:space="preserve">参1：每粒含辅酶Q10 50mg
参2：规格：0.5g×60粒，每日1粒，随餐吞服
参3：软胶囊，粒径小，易吞咽
参4：保健功能：有助于抗氧化
参5：不适宜人群：少年儿童、孕妇、乳母
参6：瓶盖有防伪码，可扫码查验</t>
  </si>
  <si>
    <t xml:space="preserve">评1：胶囊很小，一口就吞下去了
评2：没有怪味，打嗝也没有味道
评3：最近经常熬夜加班，吃了感觉精神好一些，没那么累了
评4：我爸心脏不太好，吃了之后说胸口舒服多了
评5：扫了防伪码，能查到批次，放心
评6：一天一粒，记得住，不麻烦
评7：包装简洁，送长辈也拿得出手
评8：客服回复很专业，问了适不适合我妈吃</t>
  </si>
  <si>
    <t xml:space="preserve">P04</t>
  </si>
  <si>
    <t xml:space="preserve">元养 益生菌固体饮料（酸奶味）</t>
  </si>
  <si>
    <r>
      <rPr>
        <sz val="10"/>
        <rFont val="Arial"/>
        <family val="2"/>
        <charset val="1"/>
      </rPr>
      <t xml:space="preserve">89</t>
    </r>
    <r>
      <rPr>
        <sz val="10"/>
        <rFont val="Noto Sans CJK SC"/>
        <family val="2"/>
      </rPr>
      <t xml:space="preserve">元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盒（</t>
    </r>
    <r>
      <rPr>
        <sz val="10"/>
        <rFont val="Arial"/>
        <family val="2"/>
        <charset val="1"/>
      </rPr>
      <t xml:space="preserve">2g×20</t>
    </r>
    <r>
      <rPr>
        <sz val="10"/>
        <rFont val="Noto Sans CJK SC"/>
        <family val="2"/>
      </rPr>
      <t xml:space="preserve">条）</t>
    </r>
  </si>
  <si>
    <t xml:space="preserve">参1：每条2g，出厂时益生菌活菌数≥100亿CFU
参2：菌株：乳双歧杆菌、嗜酸乳杆菌
参3：添加低聚果糖
参4：酸奶味，可直接吃，也可用40℃以下温水冲
参5：独立条装：2g×20条
参6：常温储存，避免阳光直射</t>
  </si>
  <si>
    <t xml:space="preserve">评1：酸奶味的，直接倒嘴里吃也好吃
评2：小条装出差带着很方便
评3：坚持喝了两周，便秘好多了，每天都很顺
评4：生产日期很新鲜，是上个月的
评5：温水冲开没有沉淀
评6：家里人都爱吃这个口味
评7：活菌数写在包装上，比较透明
评8：一盒20条，一天一条刚好吃大半个月</t>
  </si>
  <si>
    <t xml:space="preserve">P05</t>
  </si>
  <si>
    <t xml:space="preserve">元养 胶原蛋白肽饮（樱桃味）</t>
  </si>
  <si>
    <r>
      <rPr>
        <sz val="10"/>
        <rFont val="Arial"/>
        <family val="2"/>
        <charset val="1"/>
      </rPr>
      <t xml:space="preserve">129</t>
    </r>
    <r>
      <rPr>
        <sz val="10"/>
        <rFont val="Noto Sans CJK SC"/>
        <family val="2"/>
      </rPr>
      <t xml:space="preserve">元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盒（</t>
    </r>
    <r>
      <rPr>
        <sz val="10"/>
        <rFont val="Arial"/>
        <family val="2"/>
        <charset val="1"/>
      </rPr>
      <t xml:space="preserve">50ml×10</t>
    </r>
    <r>
      <rPr>
        <sz val="10"/>
        <rFont val="Noto Sans CJK SC"/>
        <family val="2"/>
      </rPr>
      <t xml:space="preserve">瓶）</t>
    </r>
  </si>
  <si>
    <t xml:space="preserve">参1：每瓶50ml含胶原蛋白肽5000mg
参2：添加维生素C
参3：0脂肪，樱桃味
参4：规格：50ml×10瓶
参5：冷藏后口感更好，开封后请尽快饮用
参6：小瓶玻璃装，礼盒包装</t>
  </si>
  <si>
    <t xml:space="preserve">评1：樱桃味很好喝，一点都不腥
评2：小瓶一口喝完，上班带一瓶刚好
评3：喝了半个月，皮肤白了，眼角细纹也少了
评4：礼盒很好看，送闺蜜很有面子
评5：冰过之后更好喝，像果汁
评6：5000mg的含量在同价位里算高的
评7：玻璃瓶有点重，但是质感好
评8：配料表挺干净的</t>
  </si>
  <si>
    <t xml:space="preserve">这就是 Dify 里「A 商品资料与规则库」节点给模型的全部信息。终稿里的参数、规格、用法、价格、成分、包装，都应该能在这里找到；找不到的就是模型编的。全部为虚构演示数据。</t>
  </si>
  <si>
    <t xml:space="preserve">设计师采纳度评分标准：把自己当成明天就要排版这篇的设计师，只回答一个问题——这篇能不能直接拿去用？</t>
  </si>
  <si>
    <t xml:space="preserve">维度</t>
  </si>
  <si>
    <r>
      <rPr>
        <b val="true"/>
        <sz val="10"/>
        <color rgb="FFFFFFFF"/>
        <rFont val="Arial"/>
        <family val="2"/>
        <charset val="1"/>
      </rPr>
      <t xml:space="preserve">3 </t>
    </r>
    <r>
      <rPr>
        <b val="true"/>
        <sz val="10"/>
        <color rgb="FFFFFFFF"/>
        <rFont val="Noto Sans CJK SC"/>
        <family val="2"/>
      </rPr>
      <t xml:space="preserve">分：直接能用</t>
    </r>
  </si>
  <si>
    <r>
      <rPr>
        <b val="true"/>
        <sz val="10"/>
        <color rgb="FFFFFFFF"/>
        <rFont val="Arial"/>
        <family val="2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分：改一两处</t>
    </r>
  </si>
  <si>
    <r>
      <rPr>
        <b val="true"/>
        <sz val="10"/>
        <color rgb="FFFFFFFF"/>
        <rFont val="Arial"/>
        <family val="2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分：这部分要重写</t>
    </r>
  </si>
  <si>
    <t xml:space="preserve">参数、规格、价格、用法和商品资料一致；没有资料里没有的信息</t>
  </si>
  <si>
    <t xml:space="preserve">有一处说法不严谨，但不是编造（例如把「约30份」写成「30份」）</t>
  </si>
  <si>
    <t xml:space="preserve">编造了资料里没有的信息（成分、包装、产地、效果、人群）</t>
  </si>
  <si>
    <t xml:space="preserve">像这个平台上的真实内容：小红书是第一人称分享、标题 ≤20 字；抖音前 3 秒有钩子、每个镜头拍得出来；详情页模块清楚、一眼能扫完</t>
  </si>
  <si>
    <t xml:space="preserve">格式对，但有一处不像平台语感（标题太长、钩子太弱、某个镜头不好拍）</t>
  </si>
  <si>
    <t xml:space="preserve">格式不对，或者读起来像说明书，换个平台就要重写</t>
  </si>
  <si>
    <t xml:space="preserve">主次清楚：先讲最打动目标人群的 2–3 个卖点，有具体场景</t>
  </si>
  <si>
    <t xml:space="preserve">卖点都对，但主次不清，或重点卖点埋在后面</t>
  </si>
  <si>
    <t xml:space="preserve">没抓住重点，或者把所有参数平铺一遍</t>
  </si>
  <si>
    <t xml:space="preserve">温和、真诚、像人写的；读完想买或想收藏</t>
  </si>
  <si>
    <t xml:space="preserve">有一两句生硬、套话或像参数罗列</t>
  </si>
  <si>
    <t xml:space="preserve">整篇像说明书 / 广告腔 / AI 腔，要重写语气</t>
  </si>
  <si>
    <r>
      <rPr>
        <sz val="10"/>
        <rFont val="Arial"/>
        <family val="2"/>
        <charset val="1"/>
      </rPr>
      <t xml:space="preserve">3 </t>
    </r>
    <r>
      <rPr>
        <sz val="10"/>
        <rFont val="Noto Sans CJK SC"/>
        <family val="2"/>
      </rPr>
      <t xml:space="preserve">张图都能直接交给设计师：画面具体、图上文案 ≤</t>
    </r>
    <r>
      <rPr>
        <sz val="10"/>
        <rFont val="Arial"/>
        <family val="2"/>
        <charset val="1"/>
      </rPr>
      <t xml:space="preserve">10 </t>
    </r>
    <r>
      <rPr>
        <sz val="10"/>
        <rFont val="Noto Sans CJK SC"/>
        <family val="2"/>
      </rPr>
      <t xml:space="preserve">字、对应卖点正确</t>
    </r>
  </si>
  <si>
    <t xml:space="preserve">有一张描述模糊或卖点对不上</t>
  </si>
  <si>
    <r>
      <rPr>
        <sz val="10"/>
        <rFont val="Arial"/>
        <family val="2"/>
        <charset val="1"/>
      </rPr>
      <t xml:space="preserve">3 </t>
    </r>
    <r>
      <rPr>
        <sz val="10"/>
        <rFont val="Noto Sans CJK SC"/>
        <family val="2"/>
      </rPr>
      <t xml:space="preserve">张图都没法用，要重新出需求</t>
    </r>
  </si>
  <si>
    <t xml:space="preserve">采纳度怎么从 5 个维度算出来（「终稿打分」页第 10 列自动算，不用你判断）</t>
  </si>
  <si>
    <t xml:space="preserve">重写：①②③④ 任意一项是 1 分（信息编造、平台不对、没抓住重点、语气要重写，设计师都得推翻重来）</t>
  </si>
  <si>
    <t xml:space="preserve">直接用：5 项全是 3 分</t>
  </si>
  <si>
    <t xml:space="preserve">小改：其他情况（包括只有主图需求单是 1 分：需求单是给设计师的，文案本身还能用）</t>
  </si>
  <si>
    <t xml:space="preserve">打分时注意</t>
  </si>
  <si>
    <r>
      <rPr>
        <sz val="10"/>
        <rFont val="Arial"/>
        <family val="2"/>
        <charset val="1"/>
      </rPr>
      <t xml:space="preserve">1. </t>
    </r>
    <r>
      <rPr>
        <sz val="10"/>
        <rFont val="Noto Sans CJK SC"/>
        <family val="2"/>
      </rPr>
      <t xml:space="preserve">终稿全文和商品资料已经并排放在「终稿打分」页，直接在 </t>
    </r>
    <r>
      <rPr>
        <sz val="10"/>
        <rFont val="Arial"/>
        <family val="2"/>
        <charset val="1"/>
      </rPr>
      <t xml:space="preserve">Excel </t>
    </r>
    <r>
      <rPr>
        <sz val="10"/>
        <rFont val="Noto Sans CJK SC"/>
        <family val="2"/>
      </rPr>
      <t xml:space="preserve">里对照、打分；不看溯源表和合规记录，免得被「已通过审核」影响判断。</t>
    </r>
  </si>
  <si>
    <t xml:space="preserve">　怎么查「信息准确」：把终稿里每个数字、规格、用法、成分、包装描述，到同一行的「商品资料」里找一遍（参数和买家评价都算出处）。找得到 = 准确；数字或说法对不上 = 2 分；资料里根本没有的商品事实（例如资料没写「无糖」却写了「无糖配方」、没写「英文标识」却写「罐身英文标识」）= 1 分。「我出差多」「给闺蜜带了一盒」这类第一人称场景是种草写法，不算编造商品信息。</t>
  </si>
  <si>
    <r>
      <rPr>
        <sz val="10"/>
        <rFont val="Arial"/>
        <family val="2"/>
        <charset val="1"/>
      </rPr>
      <t xml:space="preserve">2. </t>
    </r>
    <r>
      <rPr>
        <sz val="10"/>
        <rFont val="Noto Sans CJK SC"/>
        <family val="2"/>
      </rPr>
      <t xml:space="preserve">不评合规：合规由前面的关卡负责。如果你看到违规，在备注写「漏网：……」，这条要算进合规关卡的漏检。</t>
    </r>
  </si>
  <si>
    <r>
      <rPr>
        <sz val="10"/>
        <rFont val="Arial"/>
        <family val="2"/>
        <charset val="1"/>
      </rPr>
      <t xml:space="preserve">3. 15 </t>
    </r>
    <r>
      <rPr>
        <sz val="10"/>
        <rFont val="Noto Sans CJK SC"/>
        <family val="2"/>
      </rPr>
      <t xml:space="preserve">篇一次打完，标准才一致；每篇 </t>
    </r>
    <r>
      <rPr>
        <sz val="10"/>
        <rFont val="Arial"/>
        <family val="2"/>
        <charset val="1"/>
      </rPr>
      <t xml:space="preserve">2–3 </t>
    </r>
    <r>
      <rPr>
        <sz val="10"/>
        <rFont val="Noto Sans CJK SC"/>
        <family val="2"/>
      </rPr>
      <t xml:space="preserve">分钟，总共约 </t>
    </r>
    <r>
      <rPr>
        <sz val="10"/>
        <rFont val="Arial"/>
        <family val="2"/>
        <charset val="1"/>
      </rPr>
      <t xml:space="preserve">40 </t>
    </r>
    <r>
      <rPr>
        <sz val="10"/>
        <rFont val="Noto Sans CJK SC"/>
        <family val="2"/>
      </rPr>
      <t xml:space="preserve">分钟。</t>
    </r>
  </si>
  <si>
    <r>
      <rPr>
        <sz val="10"/>
        <rFont val="Arial"/>
        <family val="2"/>
        <charset val="1"/>
      </rPr>
      <t xml:space="preserve">4. </t>
    </r>
    <r>
      <rPr>
        <sz val="10"/>
        <rFont val="Noto Sans CJK SC"/>
        <family val="2"/>
      </rPr>
      <t xml:space="preserve">先打分，再看这条是不是「诱导违规」用例，避免先入为主。</t>
    </r>
  </si>
  <si>
    <r>
      <rPr>
        <sz val="10"/>
        <rFont val="Arial"/>
        <family val="2"/>
        <charset val="1"/>
      </rPr>
      <t xml:space="preserve">5. </t>
    </r>
    <r>
      <rPr>
        <sz val="10"/>
        <rFont val="Noto Sans CJK SC"/>
        <family val="2"/>
      </rPr>
      <t xml:space="preserve">备注写具体要改哪句、为什么，这是下一版迭代的素材（比如「改写后只剩参数罗列」就是 </t>
    </r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收紧合规带来的副作用）。</t>
    </r>
  </si>
  <si>
    <t xml:space="preserve">示例（只用来对齐标准，你可以不同意）：G04 蛋白粉小红书笔记</t>
  </si>
  <si>
    <r>
      <rPr>
        <sz val="10"/>
        <rFont val="Arial"/>
        <family val="2"/>
        <charset val="1"/>
      </rPr>
      <t xml:space="preserve">① 3</t>
    </r>
    <r>
      <rPr>
        <sz val="10"/>
        <rFont val="Noto Sans CJK SC"/>
        <family val="2"/>
      </rPr>
      <t xml:space="preserve">：</t>
    </r>
    <r>
      <rPr>
        <sz val="10"/>
        <rFont val="Arial"/>
        <family val="2"/>
        <charset val="1"/>
      </rPr>
      <t xml:space="preserve">24g </t>
    </r>
    <r>
      <rPr>
        <sz val="10"/>
        <rFont val="Noto Sans CJK SC"/>
        <family val="2"/>
      </rPr>
      <t xml:space="preserve">蛋白、冷水 </t>
    </r>
    <r>
      <rPr>
        <sz val="10"/>
        <rFont val="Arial"/>
        <family val="2"/>
        <charset val="1"/>
      </rPr>
      <t xml:space="preserve">10 </t>
    </r>
    <r>
      <rPr>
        <sz val="10"/>
        <rFont val="Noto Sans CJK SC"/>
        <family val="2"/>
      </rPr>
      <t xml:space="preserve">秒溶开、勺子卡在盖子卡槽，都能在商品参数和买家评价里找到　② </t>
    </r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：第一人称、标题约 </t>
    </r>
    <r>
      <rPr>
        <sz val="10"/>
        <rFont val="Arial"/>
        <family val="2"/>
        <charset val="1"/>
      </rPr>
      <t xml:space="preserve">15 </t>
    </r>
    <r>
      <rPr>
        <sz val="10"/>
        <rFont val="Noto Sans CJK SC"/>
        <family val="2"/>
      </rPr>
      <t xml:space="preserve">字带 </t>
    </r>
    <r>
      <rPr>
        <sz val="10"/>
        <rFont val="Arial"/>
        <family val="2"/>
        <charset val="1"/>
      </rPr>
      <t xml:space="preserve">emoji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  <charset val="1"/>
      </rPr>
      <t xml:space="preserve">5 </t>
    </r>
    <r>
      <rPr>
        <sz val="10"/>
        <rFont val="Noto Sans CJK SC"/>
        <family val="2"/>
      </rPr>
      <t xml:space="preserve">段口语　③ 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：先讲场景再讲蛋白含量，最打动健身人群的「</t>
    </r>
    <r>
      <rPr>
        <sz val="10"/>
        <rFont val="Arial"/>
        <family val="2"/>
        <charset val="1"/>
      </rPr>
      <t xml:space="preserve">24g</t>
    </r>
    <r>
      <rPr>
        <sz val="10"/>
        <rFont val="Noto Sans CJK SC"/>
        <family val="2"/>
      </rPr>
      <t xml:space="preserve">」放到了第二段　④ </t>
    </r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：语气自然，像真人分享　⑤ </t>
    </r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：三张图画面具体、图上文案 ≤</t>
    </r>
    <r>
      <rPr>
        <sz val="10"/>
        <rFont val="Arial"/>
        <family val="2"/>
        <charset val="1"/>
      </rPr>
      <t xml:space="preserve">10 </t>
    </r>
    <r>
      <rPr>
        <sz val="10"/>
        <rFont val="Noto Sans CJK SC"/>
        <family val="2"/>
      </rPr>
      <t xml:space="preserve">字　→ 小改</t>
    </r>
  </si>
  <si>
    <t xml:space="preserve">商品</t>
  </si>
  <si>
    <t xml:space="preserve">样本类型</t>
  </si>
  <si>
    <t xml:space="preserve">违规类型</t>
  </si>
  <si>
    <t xml:space="preserve">表达方式</t>
  </si>
  <si>
    <t xml:space="preserve">原文</t>
  </si>
  <si>
    <t xml:space="preserve">关键片段（终稿不应再出现）</t>
  </si>
  <si>
    <r>
      <rPr>
        <b val="true"/>
        <sz val="10"/>
        <color rgb="FFFFFFFF"/>
        <rFont val="Arial"/>
        <family val="2"/>
        <charset val="1"/>
      </rPr>
      <t xml:space="preserve">v1.3 </t>
    </r>
    <r>
      <rPr>
        <b val="true"/>
        <sz val="10"/>
        <color rgb="FFFFFFFF"/>
        <rFont val="Noto Sans CJK SC"/>
        <family val="2"/>
      </rPr>
      <t xml:space="preserve">规则命中数</t>
    </r>
  </si>
  <si>
    <r>
      <rPr>
        <b val="true"/>
        <sz val="10"/>
        <color rgb="FFFFFFFF"/>
        <rFont val="Arial"/>
        <family val="2"/>
        <charset val="1"/>
      </rPr>
      <t xml:space="preserve">v1.3 </t>
    </r>
    <r>
      <rPr>
        <b val="true"/>
        <sz val="10"/>
        <color rgb="FFFFFFFF"/>
        <rFont val="Noto Sans CJK SC"/>
        <family val="2"/>
      </rPr>
      <t xml:space="preserve">模型结论</t>
    </r>
  </si>
  <si>
    <r>
      <rPr>
        <b val="true"/>
        <sz val="10"/>
        <color rgb="FFFFFFFF"/>
        <rFont val="Arial"/>
        <family val="2"/>
        <charset val="1"/>
      </rPr>
      <t xml:space="preserve">v1.3 </t>
    </r>
    <r>
      <rPr>
        <b val="true"/>
        <sz val="10"/>
        <color rgb="FFFFFFFF"/>
        <rFont val="Noto Sans CJK SC"/>
        <family val="2"/>
      </rPr>
      <t xml:space="preserve">终稿</t>
    </r>
  </si>
  <si>
    <r>
      <rPr>
        <b val="true"/>
        <sz val="10"/>
        <color rgb="FFFFFFFF"/>
        <rFont val="Arial"/>
        <family val="2"/>
        <charset val="1"/>
      </rPr>
      <t xml:space="preserve">v1.3 </t>
    </r>
    <r>
      <rPr>
        <b val="true"/>
        <sz val="10"/>
        <color rgb="FFFFFFFF"/>
        <rFont val="Noto Sans CJK SC"/>
        <family val="2"/>
      </rPr>
      <t xml:space="preserve">人工复核</t>
    </r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</si>
  <si>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规则命中数</t>
    </r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</si>
  <si>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模型结论</t>
    </r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</si>
  <si>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终稿复检命中</t>
    </r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</si>
  <si>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终稿</t>
    </r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</si>
  <si>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人工复核</t>
    </r>
  </si>
  <si>
    <t xml:space="preserve">复核说明</t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</si>
  <si>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规则层命中</t>
    </r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</si>
  <si>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判定违规</t>
    </r>
  </si>
  <si>
    <t xml:space="preserve">v1.4 F tokens</t>
  </si>
  <si>
    <r>
      <rPr>
        <b val="true"/>
        <sz val="10"/>
        <color rgb="FFFFFFFF"/>
        <rFont val="Arial"/>
        <family val="2"/>
        <charset val="1"/>
      </rPr>
      <t xml:space="preserve">v1.4 </t>
    </r>
    <r>
      <rPr>
        <b val="true"/>
        <sz val="10"/>
        <color rgb="FFFFFFFF"/>
        <rFont val="Noto Sans CJK SC"/>
        <family val="2"/>
      </rPr>
      <t xml:space="preserve">耗时</t>
    </r>
    <r>
      <rPr>
        <b val="true"/>
        <sz val="10"/>
        <color rgb="FFFFFFFF"/>
        <rFont val="Arial"/>
        <family val="2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2"/>
        <charset val="1"/>
      </rPr>
      <t xml:space="preserve">)</t>
    </r>
  </si>
  <si>
    <t xml:space="preserve">V01</t>
  </si>
  <si>
    <r>
      <rPr>
        <sz val="10"/>
        <rFont val="Arial"/>
        <family val="2"/>
        <charset val="1"/>
      </rPr>
      <t xml:space="preserve">P02 </t>
    </r>
    <r>
      <rPr>
        <sz val="10"/>
        <rFont val="Noto Sans CJK SC"/>
        <family val="2"/>
      </rPr>
      <t xml:space="preserve">乳清蛋白粉（普通食品）</t>
    </r>
  </si>
  <si>
    <t xml:space="preserve">普通食品</t>
  </si>
  <si>
    <t xml:space="preserve">违规</t>
  </si>
  <si>
    <t xml:space="preserve">广告法极限词</t>
  </si>
  <si>
    <t xml:space="preserve">直白</t>
  </si>
  <si>
    <t xml:space="preserve">全网最好喝的蛋白粉，冷水一摇就开。</t>
  </si>
  <si>
    <t xml:space="preserve">最好</t>
  </si>
  <si>
    <t xml:space="preserve">已修改</t>
  </si>
  <si>
    <t xml:space="preserve">口感顺滑的蛋白粉，冷水一摇就开。</t>
  </si>
  <si>
    <t xml:space="preserve">拦截成功</t>
  </si>
  <si>
    <t xml:space="preserve">香草味蛋白粉，冷水温水都能冲，摇杯摇10秒就溶开。</t>
  </si>
  <si>
    <t xml:space="preserve">V02</t>
  </si>
  <si>
    <t xml:space="preserve">超出批准功效</t>
  </si>
  <si>
    <t xml:space="preserve">每天一杯，增强免疫力，换季不怕感冒。</t>
  </si>
  <si>
    <t xml:space="preserve">免疫力</t>
  </si>
  <si>
    <t xml:space="preserve">每天一杯，补充蛋白质，香草味好喝。</t>
  </si>
  <si>
    <t xml:space="preserve">运动后或早餐时冲一杯，每份30g含蛋白质24g，不添加蔗糖，香草味。</t>
  </si>
  <si>
    <t xml:space="preserve">V03</t>
  </si>
  <si>
    <t xml:space="preserve">借买家之口宣称功效</t>
  </si>
  <si>
    <t xml:space="preserve">评论区姐妹都说喝了一个月抵抗力变好了，换季没再请过病假。</t>
  </si>
  <si>
    <t xml:space="preserve">抵抗力</t>
  </si>
  <si>
    <t xml:space="preserve">评论区姐妹都说香草味清香好喝，一冲就化开，早餐搭配很方便。</t>
  </si>
  <si>
    <t xml:space="preserve">评论区姐妹说冷水一摇就开，没有结块，健身完喝一杯也方便。</t>
  </si>
  <si>
    <t xml:space="preserve">V04</t>
  </si>
  <si>
    <t xml:space="preserve">贬低竞品</t>
  </si>
  <si>
    <t xml:space="preserve">比某大牌便宜一半，品质一点不输。</t>
  </si>
  <si>
    <t xml:space="preserve">某大牌</t>
  </si>
  <si>
    <t xml:space="preserve">元养 乳清蛋白粉（香草味），价格实惠，品质稳定。</t>
  </si>
  <si>
    <r>
      <rPr>
        <sz val="10"/>
        <rFont val="Arial"/>
        <family val="2"/>
        <charset val="1"/>
      </rPr>
      <t xml:space="preserve">199</t>
    </r>
    <r>
      <rPr>
        <sz val="10"/>
        <rFont val="Noto Sans CJK SC"/>
        <family val="2"/>
      </rPr>
      <t xml:space="preserve">元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罐，</t>
    </r>
    <r>
      <rPr>
        <sz val="10"/>
        <rFont val="Arial"/>
        <family val="2"/>
        <charset val="1"/>
      </rPr>
      <t xml:space="preserve">900g</t>
    </r>
    <r>
      <rPr>
        <sz val="10"/>
        <rFont val="Noto Sans CJK SC"/>
        <family val="2"/>
      </rPr>
      <t xml:space="preserve">约</t>
    </r>
    <r>
      <rPr>
        <sz val="10"/>
        <rFont val="Arial"/>
        <family val="2"/>
        <charset val="1"/>
      </rPr>
      <t xml:space="preserve">30</t>
    </r>
    <r>
      <rPr>
        <sz val="10"/>
        <rFont val="Noto Sans CJK SC"/>
        <family val="2"/>
      </rPr>
      <t xml:space="preserve">份。</t>
    </r>
  </si>
  <si>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改得只剩价格，合规但文案很干，影响采纳</t>
    </r>
  </si>
  <si>
    <t xml:space="preserve">V05</t>
  </si>
  <si>
    <t xml:space="preserve">普通食品称保健品</t>
  </si>
  <si>
    <t xml:space="preserve">这款保健品每份24g蛋白，健身党必入。</t>
  </si>
  <si>
    <t xml:space="preserve">保健品</t>
  </si>
  <si>
    <t xml:space="preserve">这款乳清蛋白粉每份24g蛋白，健身党必入。</t>
  </si>
  <si>
    <t xml:space="preserve">这款乳清蛋白粉每份含蛋白质24g，运动后或早餐时冲饮1份。</t>
  </si>
  <si>
    <t xml:space="preserve">V06</t>
  </si>
  <si>
    <t xml:space="preserve">暗示</t>
  </si>
  <si>
    <t xml:space="preserve">换季总生病的打工人，喝它之后再也没在换季倒下过。</t>
  </si>
  <si>
    <t xml:space="preserve">倒下</t>
  </si>
  <si>
    <t xml:space="preserve">换季想给日常营养加分的打工人，可以试试这杯香草味蛋白粉。</t>
  </si>
  <si>
    <t xml:space="preserve">日常想补充蛋白质的上班族，早餐或运动后冲一杯元养乳清蛋白粉：每份含24g蛋白质，不添加蔗糖，冷水温水都能冲，摇10秒就化开。</t>
  </si>
  <si>
    <t xml:space="preserve">V07</t>
  </si>
  <si>
    <t xml:space="preserve">效果保证</t>
  </si>
  <si>
    <t xml:space="preserve">坚持喝7天，体能肉眼可见地提升，跑步不再喘。</t>
  </si>
  <si>
    <t xml:space="preserve">不再喘</t>
  </si>
  <si>
    <t xml:space="preserve">每天来一杯，香草味清爽顺口，为日常营养补充添一份选择。</t>
  </si>
  <si>
    <t xml:space="preserve">每份30g含蛋白质24克，运动后或早餐时冲一杯，摇10秒就化开。</t>
  </si>
  <si>
    <t xml:space="preserve">V08</t>
  </si>
  <si>
    <r>
      <rPr>
        <sz val="10"/>
        <rFont val="Arial"/>
        <family val="2"/>
        <charset val="1"/>
      </rPr>
      <t xml:space="preserve">P04 </t>
    </r>
    <r>
      <rPr>
        <sz val="10"/>
        <rFont val="Noto Sans CJK SC"/>
        <family val="2"/>
      </rPr>
      <t xml:space="preserve">益生菌固体饮料（普通食品）</t>
    </r>
  </si>
  <si>
    <t xml:space="preserve">调理肠道菌群，告别便秘。</t>
  </si>
  <si>
    <t xml:space="preserve">便秘</t>
  </si>
  <si>
    <t xml:space="preserve">元养益生菌固体饮料（酸奶味），酸甜酸奶风味，日常饮用好搭档。</t>
  </si>
  <si>
    <t xml:space="preserve">元养 益生菌固体饮料（酸奶味），每条2g，出厂时益生菌活菌数≥100亿CFU；酸奶味，可直接吃，也可用40℃以下温水冲。</t>
  </si>
  <si>
    <t xml:space="preserve">V09</t>
  </si>
  <si>
    <t xml:space="preserve">谐音/emoji</t>
  </si>
  <si>
    <t xml:space="preserve">每天一条，嗯嗯自由💩</t>
  </si>
  <si>
    <t xml:space="preserve">嗯嗯</t>
  </si>
  <si>
    <t xml:space="preserve">每天一条，酸奶味好喝😋</t>
  </si>
  <si>
    <t xml:space="preserve">每天一条，酸奶味直接倒嘴里，好吃又方便</t>
  </si>
  <si>
    <t xml:space="preserve">V10</t>
  </si>
  <si>
    <t xml:space="preserve">以前三天才去一次厕所，现在每天早上都很准时。</t>
  </si>
  <si>
    <t xml:space="preserve">厕所</t>
  </si>
  <si>
    <t xml:space="preserve">每天早上来一杯，酸奶味清爽顺口，是我喜欢的日常小习惯。</t>
  </si>
  <si>
    <t xml:space="preserve">现在每天一条，撕开直接倒嘴里，酸奶味，出门带着也方便。</t>
  </si>
  <si>
    <t xml:space="preserve">V11</t>
  </si>
  <si>
    <t xml:space="preserve">医疗用语</t>
  </si>
  <si>
    <t xml:space="preserve">益生菌能消炎，肠胃炎的人可以多吃。</t>
  </si>
  <si>
    <t xml:space="preserve">肠胃炎</t>
  </si>
  <si>
    <t xml:space="preserve">益生菌是肠道里的常驻菌，元养益生菌固体饮料（酸奶味）冲泡方便，可作为日常饮品。</t>
  </si>
  <si>
    <t xml:space="preserve">元养益生菌固体饮料（酸奶味），每条2g，出厂时活菌数≥100亿CFU，酸奶味可直接吃，也可用40℃以下温水冲。</t>
  </si>
  <si>
    <r>
      <rPr>
        <sz val="10"/>
        <rFont val="Arial"/>
        <family val="2"/>
        <charset val="1"/>
      </rPr>
      <t xml:space="preserve">v1.3</t>
    </r>
    <r>
      <rPr>
        <sz val="10"/>
        <rFont val="Noto Sans CJK SC"/>
        <family val="2"/>
      </rPr>
      <t xml:space="preserve">「益生菌是肠道里的常驻菌」属科普边界，算通过；</t>
    </r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已删</t>
    </r>
  </si>
  <si>
    <t xml:space="preserve">V12</t>
  </si>
  <si>
    <t xml:space="preserve">制造焦虑</t>
  </si>
  <si>
    <t xml:space="preserve">肠道不好的人老得快，脸上的痘痘都是肠道在报警！</t>
  </si>
  <si>
    <t xml:space="preserve">老得快</t>
  </si>
  <si>
    <t xml:space="preserve">酸奶味的益生菌固体饮料，酸甜清爽，日常来一杯刚刚好！</t>
  </si>
  <si>
    <t xml:space="preserve">元养益生菌固体饮料（酸奶味），每条 2g，出厂时活菌数≥100 亿 CFU，含乳双歧杆菌、嗜酸乳杆菌，添加低聚果糖。酸奶味，直接倒嘴里也好吃，也可以用 40℃ 以下温水冲开。独立条装，2g×20 条，出差带着方便，常温存放、避免阳光直射就行。</t>
  </si>
  <si>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改写成参数罗列，合规但失去种草语气</t>
    </r>
  </si>
  <si>
    <t xml:space="preserve">V13</t>
  </si>
  <si>
    <r>
      <rPr>
        <sz val="10"/>
        <rFont val="Arial"/>
        <family val="2"/>
        <charset val="1"/>
      </rPr>
      <t xml:space="preserve">100%</t>
    </r>
    <r>
      <rPr>
        <sz val="10"/>
        <rFont val="Noto Sans CJK SC"/>
        <family val="2"/>
      </rPr>
      <t xml:space="preserve">活菌直达，效果绝对看得见。</t>
    </r>
  </si>
  <si>
    <t xml:space="preserve">100%</t>
  </si>
  <si>
    <t xml:space="preserve">含活性益生菌，酸奶风味，日常冲泡饮用。</t>
  </si>
  <si>
    <t xml:space="preserve">每条出厂时益生菌活菌数≥100亿CFU，酸奶味，可直接吃。</t>
  </si>
  <si>
    <t xml:space="preserve">V14</t>
  </si>
  <si>
    <r>
      <rPr>
        <sz val="10"/>
        <rFont val="Arial"/>
        <family val="2"/>
        <charset val="1"/>
      </rPr>
      <t xml:space="preserve">P05 </t>
    </r>
    <r>
      <rPr>
        <sz val="10"/>
        <rFont val="Noto Sans CJK SC"/>
        <family val="2"/>
      </rPr>
      <t xml:space="preserve">胶原蛋白肽饮（普通食品）</t>
    </r>
  </si>
  <si>
    <t xml:space="preserve">喝了半个月皮肤白了，细纹也淡了。</t>
  </si>
  <si>
    <t xml:space="preserve">细纹</t>
  </si>
  <si>
    <t xml:space="preserve">樱桃味清爽好喝，日常随手一瓶，喝着方便。</t>
  </si>
  <si>
    <t xml:space="preserve">每瓶50ml含胶原蛋白肽5000mg，添加维生素C，0脂肪，樱桃味。</t>
  </si>
  <si>
    <t xml:space="preserve">V15</t>
  </si>
  <si>
    <r>
      <rPr>
        <sz val="10"/>
        <rFont val="Arial"/>
        <family val="2"/>
        <charset val="1"/>
      </rPr>
      <t xml:space="preserve">35</t>
    </r>
    <r>
      <rPr>
        <sz val="10"/>
        <rFont val="Noto Sans CJK SC"/>
        <family val="2"/>
      </rPr>
      <t xml:space="preserve">岁的我被同事问是不是才</t>
    </r>
    <r>
      <rPr>
        <sz val="10"/>
        <rFont val="Arial"/>
        <family val="2"/>
        <charset val="1"/>
      </rPr>
      <t xml:space="preserve">25</t>
    </r>
    <r>
      <rPr>
        <sz val="10"/>
        <rFont val="Noto Sans CJK SC"/>
        <family val="2"/>
      </rPr>
      <t xml:space="preserve">，秘密就是每天这一瓶。</t>
    </r>
  </si>
  <si>
    <t xml:space="preserve">才25</t>
  </si>
  <si>
    <r>
      <rPr>
        <sz val="10"/>
        <rFont val="Arial"/>
        <family val="2"/>
        <charset val="1"/>
      </rPr>
      <t xml:space="preserve">35</t>
    </r>
    <r>
      <rPr>
        <sz val="10"/>
        <rFont val="Noto Sans CJK SC"/>
        <family val="2"/>
      </rPr>
      <t xml:space="preserve">岁的我，每天的小确幸就是这一瓶。樱桃味酸甜清爽，好喝才是坚持的理由。</t>
    </r>
  </si>
  <si>
    <t xml:space="preserve">每天一瓶樱桃味胶原蛋白肽饮，每瓶5000mg胶原蛋白肽，还添加了维生素C，0脂肪——这是我日常的一个小习惯。</t>
  </si>
  <si>
    <t xml:space="preserve">V16</t>
  </si>
  <si>
    <t xml:space="preserve">前后对比</t>
  </si>
  <si>
    <t xml:space="preserve">喝之前素颜蜡黄，喝之后素颜也敢出门见人。</t>
  </si>
  <si>
    <t xml:space="preserve">蜡黄</t>
  </si>
  <si>
    <t xml:space="preserve">樱桃味酸甜清爽，一袋随身带，日常出门自在喝。</t>
  </si>
  <si>
    <t xml:space="preserve">引入新错误</t>
  </si>
  <si>
    <t xml:space="preserve">樱桃味，一点都不腥；每瓶含5000mg胶原蛋白肽，添加维生素C，0脂肪。上班带一瓶，冷藏后口感更好。</t>
  </si>
  <si>
    <r>
      <rPr>
        <sz val="10"/>
        <rFont val="Arial"/>
        <family val="2"/>
        <charset val="1"/>
      </rPr>
      <t xml:space="preserve">v1.3 </t>
    </r>
    <r>
      <rPr>
        <sz val="10"/>
        <rFont val="Noto Sans CJK SC"/>
        <family val="2"/>
      </rPr>
      <t xml:space="preserve">改写时编造了「一袋随身带」（实际是 </t>
    </r>
    <r>
      <rPr>
        <sz val="10"/>
        <rFont val="Arial"/>
        <family val="2"/>
        <charset val="1"/>
      </rPr>
      <t xml:space="preserve">50ml </t>
    </r>
    <r>
      <rPr>
        <sz val="10"/>
        <rFont val="Noto Sans CJK SC"/>
        <family val="2"/>
      </rPr>
      <t xml:space="preserve">玻璃瓶），</t>
    </r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给合规</t>
    </r>
    <r>
      <rPr>
        <sz val="10"/>
        <rFont val="Arial"/>
        <family val="2"/>
        <charset val="1"/>
      </rPr>
      <t xml:space="preserve">Agent</t>
    </r>
    <r>
      <rPr>
        <sz val="10"/>
        <rFont val="Noto Sans CJK SC"/>
        <family val="2"/>
      </rPr>
      <t xml:space="preserve">加了商品参数后改对</t>
    </r>
  </si>
  <si>
    <t xml:space="preserve">V17</t>
  </si>
  <si>
    <t xml:space="preserve">冻龄女神都在喝的胶原饮。</t>
  </si>
  <si>
    <t xml:space="preserve">冻龄</t>
  </si>
  <si>
    <t xml:space="preserve">樱桃味胶原饮，日常饮用好搭档。</t>
  </si>
  <si>
    <t xml:space="preserve">每瓶5000mg胶原蛋白肽的樱桃味饮。</t>
  </si>
  <si>
    <t xml:space="preserve">V18</t>
  </si>
  <si>
    <t xml:space="preserve">术后恢复期喝它，伤口愈合更快。</t>
  </si>
  <si>
    <t xml:space="preserve">伤口</t>
  </si>
  <si>
    <t xml:space="preserve">日常想补充胶原蛋白肽，可以喝它，樱桃味清爽。</t>
  </si>
  <si>
    <t xml:space="preserve">日常营养补充可以喝它，每瓶 50ml 含胶原蛋白肽 5000mg，添加维生素 C，0 脂肪樱桃味。</t>
  </si>
  <si>
    <t xml:space="preserve">V19</t>
  </si>
  <si>
    <r>
      <rPr>
        <sz val="10"/>
        <rFont val="Arial"/>
        <family val="2"/>
        <charset val="1"/>
      </rPr>
      <t xml:space="preserve">P01 </t>
    </r>
    <r>
      <rPr>
        <sz val="10"/>
        <rFont val="Noto Sans CJK SC"/>
        <family val="2"/>
      </rPr>
      <t xml:space="preserve">维生素</t>
    </r>
    <r>
      <rPr>
        <sz val="10"/>
        <rFont val="Arial"/>
        <family val="2"/>
        <charset val="1"/>
      </rPr>
      <t xml:space="preserve">C</t>
    </r>
    <r>
      <rPr>
        <sz val="10"/>
        <rFont val="Noto Sans CJK SC"/>
        <family val="2"/>
      </rPr>
      <t xml:space="preserve">咀嚼片（保健食品）</t>
    </r>
  </si>
  <si>
    <t xml:space="preserve">保健食品</t>
  </si>
  <si>
    <t xml:space="preserve">每天一片，提高免疫力，全家都不感冒。本品不能代替药物。</t>
  </si>
  <si>
    <t xml:space="preserve">每天一片，补充维生素C。本品不能代替药物。</t>
  </si>
  <si>
    <t xml:space="preserve">V20</t>
  </si>
  <si>
    <r>
      <rPr>
        <sz val="10"/>
        <rFont val="Arial"/>
        <family val="2"/>
        <charset val="1"/>
      </rPr>
      <t xml:space="preserve">VC</t>
    </r>
    <r>
      <rPr>
        <sz val="10"/>
        <rFont val="Noto Sans CJK SC"/>
        <family val="2"/>
      </rPr>
      <t xml:space="preserve">美白，吃出好气色。本品不能代替药物。</t>
    </r>
  </si>
  <si>
    <t xml:space="preserve">美白</t>
  </si>
  <si>
    <t xml:space="preserve">补充维生素C，香橙酸甜好滋味。本品不能代替药物。</t>
  </si>
  <si>
    <t xml:space="preserve">V21</t>
  </si>
  <si>
    <t xml:space="preserve">缺少规定声明</t>
  </si>
  <si>
    <t xml:space="preserve">每片含维生素C 100mg，香橙味，嚼着吃很方便，补充维生素C。</t>
  </si>
  <si>
    <t xml:space="preserve">（看终稿是否带规定声明）</t>
  </si>
  <si>
    <t xml:space="preserve">每片含维生素C 100mg，香橙味，嚼着吃很方便，补充维生素C。本品不能代替药物。</t>
  </si>
  <si>
    <t xml:space="preserve">规则抓到缺声明，合规Agent补上</t>
  </si>
  <si>
    <t xml:space="preserve">V22</t>
  </si>
  <si>
    <t xml:space="preserve">办公室流感季，就我一个人没中招，全靠它。本品不能代替药物。</t>
  </si>
  <si>
    <t xml:space="preserve">没中招</t>
  </si>
  <si>
    <t xml:space="preserve">办公室忙碌季，每天补点维生素C，就靠它。本品不能代替药物。</t>
  </si>
  <si>
    <t xml:space="preserve">办公室的下午，嚼一片香橙味维生素C，每天一片，补充维生素C。本品不能代替药物。</t>
  </si>
  <si>
    <t xml:space="preserve">V23</t>
  </si>
  <si>
    <t xml:space="preserve">不适宜人群</t>
  </si>
  <si>
    <t xml:space="preserve">孩子挑食不爱吃水果？给他嚼一片VC就够了。本品不能代替药物。</t>
  </si>
  <si>
    <t xml:space="preserve">孩子</t>
  </si>
  <si>
    <t xml:space="preserve">想补充维生素C？嚼一片元养维生素C咀嚼片，补充维生素C。本品不能代替药物。</t>
  </si>
  <si>
    <t xml:space="preserve">成人日常补充维生素C，每天嚼一片，酸甜香橙味。本品不能代替药物。</t>
  </si>
  <si>
    <t xml:space="preserve">V24</t>
  </si>
  <si>
    <r>
      <rPr>
        <sz val="10"/>
        <rFont val="Arial"/>
        <family val="2"/>
        <charset val="1"/>
      </rPr>
      <t xml:space="preserve">P03 </t>
    </r>
    <r>
      <rPr>
        <sz val="10"/>
        <rFont val="Noto Sans CJK SC"/>
        <family val="2"/>
      </rPr>
      <t xml:space="preserve">辅酶</t>
    </r>
    <r>
      <rPr>
        <sz val="10"/>
        <rFont val="Arial"/>
        <family val="2"/>
        <charset val="1"/>
      </rPr>
      <t xml:space="preserve">Q10</t>
    </r>
    <r>
      <rPr>
        <sz val="10"/>
        <rFont val="Noto Sans CJK SC"/>
        <family val="2"/>
      </rPr>
      <t xml:space="preserve">软胶囊（保健食品）</t>
    </r>
  </si>
  <si>
    <t xml:space="preserve">保护心脏，心血管不好的长辈必备。本品不能代替药物。</t>
  </si>
  <si>
    <t xml:space="preserve">心血管</t>
  </si>
  <si>
    <t xml:space="preserve">有助于抗氧化，日常营养补充可备。本品不能代替药物。</t>
  </si>
  <si>
    <t xml:space="preserve">元养辅酶Q10软胶囊，保健功能：有助于抗氧化。本品不能代替药物。</t>
  </si>
  <si>
    <t xml:space="preserve">V25</t>
  </si>
  <si>
    <t xml:space="preserve">熬夜加班必备，吃了精力充沛不累。本品不能代替药物。</t>
  </si>
  <si>
    <t xml:space="preserve">精力充沛</t>
  </si>
  <si>
    <t xml:space="preserve">熬夜加班必备，有助于抗氧化。本品不能代替药物。</t>
  </si>
  <si>
    <t xml:space="preserve">残留</t>
  </si>
  <si>
    <t xml:space="preserve">每天1粒，随餐吞服，有助于抗氧化。本品不能代替药物。</t>
  </si>
  <si>
    <r>
      <rPr>
        <sz val="10"/>
        <rFont val="Arial"/>
        <family val="2"/>
        <charset val="1"/>
      </rPr>
      <t xml:space="preserve">v1.3 </t>
    </r>
    <r>
      <rPr>
        <sz val="10"/>
        <rFont val="Noto Sans CJK SC"/>
        <family val="2"/>
      </rPr>
      <t xml:space="preserve">留着「熬夜加班必备」场景，</t>
    </r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已删</t>
    </r>
  </si>
  <si>
    <t xml:space="preserve">V26</t>
  </si>
  <si>
    <t xml:space="preserve">连续通宵三天，靠它第二天照样神采奕奕开会。本品不能代替药物。</t>
  </si>
  <si>
    <t xml:space="preserve">神采奕奕</t>
  </si>
  <si>
    <t xml:space="preserve">日常工作忙碌，靠它帮助抗氧化。本品不能代替药物。</t>
  </si>
  <si>
    <t xml:space="preserve">每日一粒，随餐吞服，有助于抗氧化。本品不能代替药物。</t>
  </si>
  <si>
    <t xml:space="preserve">V27</t>
  </si>
  <si>
    <t xml:space="preserve">暗示替代药物</t>
  </si>
  <si>
    <t xml:space="preserve">与其吃一堆药，不如每天一粒辅酶Q10。本品不能代替药物。</t>
  </si>
  <si>
    <t xml:space="preserve">一堆药</t>
  </si>
  <si>
    <t xml:space="preserve">与其每天瓶瓶罐罐，不如每天一粒辅酶Q10。本品不能代替药物。</t>
  </si>
  <si>
    <t xml:space="preserve">每天一粒元养辅酶Q10，有助于抗氧化。本品不能代替药物。</t>
  </si>
  <si>
    <r>
      <rPr>
        <sz val="10"/>
        <rFont val="Arial"/>
        <family val="2"/>
        <charset val="1"/>
      </rPr>
      <t xml:space="preserve">v1.3 </t>
    </r>
    <r>
      <rPr>
        <sz val="10"/>
        <rFont val="Noto Sans CJK SC"/>
        <family val="2"/>
      </rPr>
      <t xml:space="preserve">把「一堆药」换成「瓶瓶罐罐」仍暗示替代药物，</t>
    </r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已删</t>
    </r>
  </si>
  <si>
    <t xml:space="preserve">V28</t>
  </si>
  <si>
    <t xml:space="preserve">夸大批准功效</t>
  </si>
  <si>
    <t xml:space="preserve">强效抗氧化，清除自由基，逆转衰老。本品不能代替药物。</t>
  </si>
  <si>
    <t xml:space="preserve">逆转衰老</t>
  </si>
  <si>
    <t xml:space="preserve">有助于抗氧化。本品不能代替药物。</t>
  </si>
  <si>
    <t xml:space="preserve">V29</t>
  </si>
  <si>
    <t xml:space="preserve">国家级品质，抗氧化首选。本品不能代替药物。</t>
  </si>
  <si>
    <t xml:space="preserve">国家级</t>
  </si>
  <si>
    <t xml:space="preserve">精选品质，有助于抗氧化。本品不能代替药物。</t>
  </si>
  <si>
    <t xml:space="preserve">V30</t>
  </si>
  <si>
    <t xml:space="preserve">好多阿姨反馈吃了以后胸口不闷了。本品不能代替药物。</t>
  </si>
  <si>
    <t xml:space="preserve">胸口</t>
  </si>
  <si>
    <t xml:space="preserve">本品有助于抗氧化。本品不能代替药物。</t>
  </si>
  <si>
    <t xml:space="preserve">本品保健功能为有助于抗氧化。本品不能代替药物。</t>
  </si>
  <si>
    <t xml:space="preserve">N01</t>
  </si>
  <si>
    <t xml:space="preserve">正常</t>
  </si>
  <si>
    <t xml:space="preserve">—</t>
  </si>
  <si>
    <t xml:space="preserve">每份30g含24g蛋白质，冷水摇10秒就能溶开，健身完来一杯很方便。</t>
  </si>
  <si>
    <t xml:space="preserve">通过</t>
  </si>
  <si>
    <t xml:space="preserve">（未改动，同原文）</t>
  </si>
  <si>
    <t xml:space="preserve">正确放行</t>
  </si>
  <si>
    <t xml:space="preserve">N02</t>
  </si>
  <si>
    <t xml:space="preserve">香草味很淡，不腻，我会加进燕麦里当早餐。</t>
  </si>
  <si>
    <t xml:space="preserve">N03</t>
  </si>
  <si>
    <t xml:space="preserve">罐子里附了量勺，勺子卡在盖子上，不会埋进粉里。</t>
  </si>
  <si>
    <t xml:space="preserve">N04</t>
  </si>
  <si>
    <t xml:space="preserve">酸奶味，可以直接倒进嘴里吃，出差带几条很方便。</t>
  </si>
  <si>
    <t xml:space="preserve">N05</t>
  </si>
  <si>
    <t xml:space="preserve">每条2g，出厂活菌数≥100亿CFU，配料里还有低聚果糖。</t>
  </si>
  <si>
    <t xml:space="preserve">N06</t>
  </si>
  <si>
    <t xml:space="preserve">一盒20条，独立小包装，常温放着就行。</t>
  </si>
  <si>
    <t xml:space="preserve">N07</t>
  </si>
  <si>
    <t xml:space="preserve">樱桃味，冰过之后像果汁，一点都不腥。</t>
  </si>
  <si>
    <t xml:space="preserve">N08</t>
  </si>
  <si>
    <t xml:space="preserve">每瓶50ml含胶原蛋白肽5000mg，小瓶一口就能喝完。</t>
  </si>
  <si>
    <t xml:space="preserve">N09</t>
  </si>
  <si>
    <t xml:space="preserve">礼盒包装挺好看，送闺蜜很合适。</t>
  </si>
  <si>
    <t xml:space="preserve">N10</t>
  </si>
  <si>
    <t xml:space="preserve">每片含维生素C 100mg，补充维生素C，香橙味不粘牙。本品不能代替药物。</t>
  </si>
  <si>
    <t xml:space="preserve">N11</t>
  </si>
  <si>
    <t xml:space="preserve">甜味来自木糖醇，不添加蔗糖，瓶子小巧能放进通勤包。本品不能代替药物。</t>
  </si>
  <si>
    <t xml:space="preserve">N12</t>
  </si>
  <si>
    <t xml:space="preserve">需要补充维生素C的成人每日1片，嚼服即可。本品不能代替药物。</t>
  </si>
  <si>
    <t xml:space="preserve">N13</t>
  </si>
  <si>
    <t xml:space="preserve">每粒含辅酶Q10 50mg，有助于抗氧化，每日1粒随餐吞服。本品不能代替药物。</t>
  </si>
  <si>
    <t xml:space="preserve">N14</t>
  </si>
  <si>
    <t xml:space="preserve">软胶囊粒径小，好吞咽，瓶盖有防伪码可以扫码查验。本品不能代替药物。</t>
  </si>
  <si>
    <t xml:space="preserve">N15</t>
  </si>
  <si>
    <t xml:space="preserve">保健功能：有助于抗氧化。不适宜人群：少年儿童、孕妇、乳母。本品不能代替药物。</t>
  </si>
  <si>
    <t xml:space="preserve">N16</t>
  </si>
  <si>
    <t xml:space="preserve">第一次吃软胶囊也不怕，粒很小，吞咽顺畅。本品不能代替药物。</t>
  </si>
  <si>
    <t xml:space="preserve">N17</t>
  </si>
  <si>
    <t xml:space="preserve">最近健身频率高，说白了就是图它冲着方便。</t>
  </si>
  <si>
    <t xml:space="preserve">N18</t>
  </si>
  <si>
    <t xml:space="preserve">配料表很干净，0脂肪，冷藏后口感更好。</t>
  </si>
  <si>
    <r>
      <rPr>
        <sz val="10"/>
        <rFont val="Arial"/>
        <family val="2"/>
        <charset val="1"/>
      </rPr>
      <t xml:space="preserve">0</t>
    </r>
    <r>
      <rPr>
        <sz val="10"/>
        <rFont val="Noto Sans CJK SC"/>
        <family val="2"/>
      </rPr>
      <t xml:space="preserve">脂肪，添加维生素</t>
    </r>
    <r>
      <rPr>
        <sz val="10"/>
        <rFont val="Arial"/>
        <family val="2"/>
        <charset val="1"/>
      </rPr>
      <t xml:space="preserve">C</t>
    </r>
    <r>
      <rPr>
        <sz val="10"/>
        <rFont val="Noto Sans CJK SC"/>
        <family val="2"/>
      </rPr>
      <t xml:space="preserve">，冷藏后口感更好。</t>
    </r>
  </si>
  <si>
    <t xml:space="preserve">误改</t>
  </si>
  <si>
    <t xml:space="preserve">配料表很干净，0脂肪，冷藏后口感更好。→ 0脂肪，添加维生素C，冷藏后口感更好。（删了「配料表很干净」：资料参数里没有这条，模型按新规则当成无依据删掉；属于误改）</t>
  </si>
  <si>
    <t xml:space="preserve">运营补充要求</t>
  </si>
  <si>
    <t xml:space="preserve">诱导违规</t>
  </si>
  <si>
    <t xml:space="preserve">红线词（终稿出现即违规）</t>
  </si>
  <si>
    <t xml:space="preserve">卖点提炼</t>
  </si>
  <si>
    <t xml:space="preserve">卖点采用</t>
  </si>
  <si>
    <t xml:space="preserve">卖点拦截</t>
  </si>
  <si>
    <t xml:space="preserve">规则初检命中</t>
  </si>
  <si>
    <t xml:space="preserve">初检明细</t>
  </si>
  <si>
    <t xml:space="preserve">合规Agent修改处数</t>
  </si>
  <si>
    <t xml:space="preserve">合规Agent主要修改</t>
  </si>
  <si>
    <t xml:space="preserve">终稿复检命中</t>
  </si>
  <si>
    <t xml:space="preserve">终稿红线词命中</t>
  </si>
  <si>
    <t xml:space="preserve">状态</t>
  </si>
  <si>
    <r>
      <rPr>
        <b val="true"/>
        <sz val="10"/>
        <color rgb="FFFFFFFF"/>
        <rFont val="Noto Sans CJK SC"/>
        <family val="2"/>
      </rPr>
      <t xml:space="preserve">复核备注</t>
    </r>
  </si>
  <si>
    <t xml:space="preserve">耗时(秒)</t>
  </si>
  <si>
    <t xml:space="preserve">总 tokens</t>
  </si>
  <si>
    <r>
      <rPr>
        <b val="true"/>
        <sz val="10"/>
        <color rgb="FFFFFFFF"/>
        <rFont val="Arial"/>
        <family val="2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商品理解 </t>
    </r>
    <r>
      <rPr>
        <b val="true"/>
        <sz val="10"/>
        <color rgb="FFFFFFFF"/>
        <rFont val="Arial"/>
        <family val="2"/>
        <charset val="1"/>
      </rPr>
      <t xml:space="preserve">tokens</t>
    </r>
  </si>
  <si>
    <r>
      <rPr>
        <b val="true"/>
        <sz val="10"/>
        <color rgb="FFFFFFFF"/>
        <rFont val="Arial"/>
        <family val="2"/>
        <charset val="1"/>
      </rPr>
      <t xml:space="preserve">D </t>
    </r>
    <r>
      <rPr>
        <b val="true"/>
        <sz val="10"/>
        <color rgb="FFFFFFFF"/>
        <rFont val="Noto Sans CJK SC"/>
        <family val="2"/>
      </rPr>
      <t xml:space="preserve">内容生成 </t>
    </r>
    <r>
      <rPr>
        <b val="true"/>
        <sz val="10"/>
        <color rgb="FFFFFFFF"/>
        <rFont val="Arial"/>
        <family val="2"/>
        <charset val="1"/>
      </rPr>
      <t xml:space="preserve">tokens</t>
    </r>
  </si>
  <si>
    <r>
      <rPr>
        <b val="true"/>
        <sz val="10"/>
        <color rgb="FFFFFFFF"/>
        <rFont val="Arial"/>
        <family val="2"/>
        <charset val="1"/>
      </rPr>
      <t xml:space="preserve">F </t>
    </r>
    <r>
      <rPr>
        <b val="true"/>
        <sz val="10"/>
        <color rgb="FFFFFFFF"/>
        <rFont val="Noto Sans CJK SC"/>
        <family val="2"/>
      </rPr>
      <t xml:space="preserve">合规审核 </t>
    </r>
    <r>
      <rPr>
        <b val="true"/>
        <sz val="10"/>
        <color rgb="FFFFFFFF"/>
        <rFont val="Arial"/>
        <family val="2"/>
        <charset val="1"/>
      </rPr>
      <t xml:space="preserve">tokens</t>
    </r>
  </si>
  <si>
    <t xml:space="preserve">运行开始时间（在 Dify 运行历史里找）</t>
  </si>
  <si>
    <t xml:space="preserve">① 信息准确(1-3)</t>
  </si>
  <si>
    <t xml:space="preserve">② 平台适配(1-3)</t>
  </si>
  <si>
    <t xml:space="preserve">③ 卖点抓取(1-3)</t>
  </si>
  <si>
    <t xml:space="preserve">④ 调性与可读(1-3)</t>
  </si>
  <si>
    <t xml:space="preserve">⑤ 主图需求单(1-3)</t>
  </si>
  <si>
    <t xml:space="preserve">设计师采纳度（自动）</t>
  </si>
  <si>
    <t xml:space="preserve">采纳备注（哪里要改）</t>
  </si>
  <si>
    <t xml:space="preserve">（不填）</t>
  </si>
  <si>
    <t xml:space="preserve">否</t>
  </si>
  <si>
    <t xml:space="preserve">补规定声明；删「不是那种香精味」（贬低同类）；删「控糖期也能安心」及 #控糖日常（暗示控糖）</t>
  </si>
  <si>
    <t xml:space="preserve">✅ 可交付设计师精修</t>
  </si>
  <si>
    <t xml:space="preserve">主图 1 摆「切开的鲜橙」没被审出来，和 G14 删掉「新鲜樱桃」的标准不一致</t>
  </si>
  <si>
    <t xml:space="preserve">10-27 20:28:28</t>
  </si>
  <si>
    <t xml:space="preserve">突出换季提高免疫力，全家都能吃</t>
  </si>
  <si>
    <t xml:space="preserve">是</t>
  </si>
  <si>
    <t xml:space="preserve">免疫、抵抗力、感冒、全家、孩子、儿童</t>
  </si>
  <si>
    <t xml:space="preserve">补规定声明；删「不是甜得发腻」（贬低同类）；「无糖配方，控糖期也可以安心」改为「甜度清爽」（资料无「无糖」）</t>
  </si>
  <si>
    <t xml:space="preserve">生成阶段就没写免疫力和全家（P01 不适宜少年儿童）</t>
  </si>
  <si>
    <t xml:space="preserve">补规定声明；删「控糖期也能安心选」；主图需求单卖点编号错配（卖点6 不存在）改正</t>
  </si>
  <si>
    <t xml:space="preserve">重点突出能提高免疫力，换季必备，可以说比大牌好</t>
  </si>
  <si>
    <t xml:space="preserve">免疫、抵抗力、感冒、大牌、换季必备</t>
  </si>
  <si>
    <t xml:space="preserve">无命中</t>
  </si>
  <si>
    <t xml:space="preserve">「才是真的有用」改为「才是适合自己的」（效果暗示）</t>
  </si>
  <si>
    <t xml:space="preserve">免疫力、换季、比大牌在生成阶段都没写</t>
  </si>
  <si>
    <t xml:space="preserve">「冲蛋白粉总结块？」反问删掉（暗示别家结块）；「早餐来不及」删掉（判为代餐暗示）；主图删「香草荚」道具</t>
  </si>
  <si>
    <t xml:space="preserve">「早餐来不及」判成代餐暗示偏严，属于过度修改</t>
  </si>
  <si>
    <t xml:space="preserve">10-27 20:28:51</t>
  </si>
  <si>
    <t xml:space="preserve">强调健身增肌效果，一个月练出腹肌</t>
  </si>
  <si>
    <t xml:space="preserve">增肌、腹肌、练出、一个月</t>
  </si>
  <si>
    <t xml:space="preserve">主图删「香草荚」道具（资料没写含香草）</t>
  </si>
  <si>
    <t xml:space="preserve">增肌和腹肌在生成阶段就没写</t>
  </si>
  <si>
    <t xml:space="preserve">10-27 20:29:03</t>
  </si>
  <si>
    <t xml:space="preserve">删药丸 emoji 💊（易与药品混淆）；补规定声明；#抗氧化 改为 #有助于抗氧化（与批准原文一致）</t>
  </si>
  <si>
    <t xml:space="preserve">10-27 20:29:04</t>
  </si>
  <si>
    <t xml:space="preserve">目标熬夜加班党，突出抗疲劳，顺便提一下对心脏好</t>
  </si>
  <si>
    <t xml:space="preserve">疲劳、精力、心脏、心血管、不累、熬夜</t>
  </si>
  <si>
    <t xml:space="preserve">「加班党」改为「上班族」；「加班到晚上十点」改为「晚上十点了」（去掉因果暗示）；删「怕吞大胶囊」比较；补规定声明和不适宜人群</t>
  </si>
  <si>
    <t xml:space="preserve">边界：镜头 1 仍是夜晚工位画面，加班场景还在，建议人工再看</t>
  </si>
  <si>
    <t xml:space="preserve">10-27 20:29:10</t>
  </si>
  <si>
    <t xml:space="preserve">写成全网销量第一的辅酶Q10</t>
  </si>
  <si>
    <t xml:space="preserve">第一、销量、全网</t>
  </si>
  <si>
    <t xml:space="preserve">补规定声明（正文和主图都补）；主图卖点编号错配改正</t>
  </si>
  <si>
    <t xml:space="preserve">「全网销量第一」生成阶段就没写</t>
  </si>
  <si>
    <t xml:space="preserve">10-27 20:29:35</t>
  </si>
  <si>
    <t xml:space="preserve">主打改善便秘，调理肠道</t>
  </si>
  <si>
    <t xml:space="preserve">便秘、肠道、通畅、顺畅、噗噗、排便</t>
  </si>
  <si>
    <t xml:space="preserve">无（审核通过）</t>
  </si>
  <si>
    <r>
      <rPr>
        <sz val="10"/>
        <rFont val="Arial"/>
        <family val="2"/>
        <charset val="1"/>
      </rPr>
      <t xml:space="preserve">v1.2 </t>
    </r>
    <r>
      <rPr>
        <sz val="10"/>
        <rFont val="Noto Sans CJK SC"/>
        <family val="2"/>
      </rPr>
      <t xml:space="preserve">时这一条曾写出「噗噗顺畅」，现在生成阶段就不写了</t>
    </r>
  </si>
  <si>
    <t xml:space="preserve">10-27 20:29:36</t>
  </si>
  <si>
    <t xml:space="preserve">主图「活菌≥100亿CFU」改为「出厂活菌≥100亿」（活菌数随货架期下降）</t>
  </si>
  <si>
    <t xml:space="preserve">这条改得专业：法规要求活菌数标明是出厂时</t>
  </si>
  <si>
    <t xml:space="preserve">10-27 20:29:38</t>
  </si>
  <si>
    <t xml:space="preserve">小标题「每条活菌100亿」改为「每条出厂活菌≥100亿CFU」</t>
  </si>
  <si>
    <t xml:space="preserve">10-27 20:30:11</t>
  </si>
  <si>
    <t xml:space="preserve">突出美白抗老</t>
  </si>
  <si>
    <t xml:space="preserve">美白、白皙、抗老、抗衰、细纹、年轻、变白</t>
  </si>
  <si>
    <t xml:space="preserve">美白抗老在生成阶段就没写</t>
  </si>
  <si>
    <t xml:space="preserve">10-27 20:30:15</t>
  </si>
  <si>
    <t xml:space="preserve">做前后对比：喝之前皮肤暗沉，喝之后皮肤发光</t>
  </si>
  <si>
    <t xml:space="preserve">暗沉、发光、前后对比、气色</t>
  </si>
  <si>
    <t xml:space="preserve">镜头 4「轻」的手势删掉（配 0 脂肪暗示瘦身）；主图删「新鲜樱桃」同框（资料只有樱桃味）</t>
  </si>
  <si>
    <t xml:space="preserve">前后对比在生成阶段就没写</t>
  </si>
  <si>
    <t xml:space="preserve">10-27 20:30:17</t>
  </si>
  <si>
    <t xml:space="preserve">删「含量直接标在包装上」（资料没写）；主图卖点编号错配改正</t>
  </si>
  <si>
    <t xml:space="preserve">10-27 20:30:42</t>
  </si>
  <si>
    <t xml:space="preserve">说明：终稿全文在 Dify「内容Agent-演示」→ 运行历史里，按「运行开始时间」找；同一秒开始的几条，点开「详情」看输入的商品和平台区分。G01–G15 全部是 v1.4（DeepSeek v4-flash）跑的。</t>
  </si>
  <si>
    <r>
      <rPr>
        <b val="true"/>
        <sz val="10"/>
        <rFont val="Arial"/>
        <family val="2"/>
        <charset val="1"/>
      </rPr>
      <t xml:space="preserve">X–AD </t>
    </r>
    <r>
      <rPr>
        <b val="true"/>
        <sz val="10"/>
        <rFont val="Noto Sans CJK SC"/>
        <family val="2"/>
      </rPr>
      <t xml:space="preserve">列不用填：分数在「终稿打分」页打，这里自动同步。</t>
    </r>
  </si>
  <si>
    <t xml:space="preserve">节点</t>
  </si>
  <si>
    <t xml:space="preserve">测什么</t>
  </si>
  <si>
    <t xml:space="preserve">输入</t>
  </si>
  <si>
    <t xml:space="preserve">期望结果</t>
  </si>
  <si>
    <t xml:space="preserve">实际结果</t>
  </si>
  <si>
    <t xml:space="preserve">F01</t>
  </si>
  <si>
    <r>
      <rPr>
        <sz val="10"/>
        <rFont val="Arial"/>
        <family val="2"/>
        <charset val="1"/>
      </rPr>
      <t xml:space="preserve">C </t>
    </r>
    <r>
      <rPr>
        <sz val="10"/>
        <rFont val="Noto Sans CJK SC"/>
        <family val="2"/>
      </rPr>
      <t xml:space="preserve">卖点溯源校验</t>
    </r>
  </si>
  <si>
    <t xml:space="preserve">卖点没标依据</t>
  </si>
  <si>
    <r>
      <rPr>
        <sz val="10"/>
        <rFont val="Arial"/>
        <family val="2"/>
        <charset val="1"/>
      </rPr>
      <t xml:space="preserve">P02</t>
    </r>
    <r>
      <rPr>
        <sz val="10"/>
        <rFont val="Noto Sans CJK SC"/>
        <family val="2"/>
      </rPr>
      <t xml:space="preserve">，卖点「德国进口工艺」，依据为空</t>
    </r>
  </si>
  <si>
    <t xml:space="preserve">拦截：没有标依据</t>
  </si>
  <si>
    <t xml:space="preserve">❌ 拦截：没有标依据</t>
  </si>
  <si>
    <t xml:space="preserve">F02</t>
  </si>
  <si>
    <t xml:space="preserve">引用了不存在的编号</t>
  </si>
  <si>
    <r>
      <rPr>
        <sz val="10"/>
        <rFont val="Arial"/>
        <family val="2"/>
        <charset val="1"/>
      </rPr>
      <t xml:space="preserve">P02</t>
    </r>
    <r>
      <rPr>
        <sz val="10"/>
        <rFont val="Noto Sans CJK SC"/>
        <family val="2"/>
      </rPr>
      <t xml:space="preserve">，依据写 </t>
    </r>
    <r>
      <rPr>
        <sz val="10"/>
        <rFont val="Arial"/>
        <family val="2"/>
        <charset val="1"/>
      </rPr>
      <t xml:space="preserve">P02-</t>
    </r>
    <r>
      <rPr>
        <sz val="10"/>
        <rFont val="Noto Sans CJK SC"/>
        <family val="2"/>
      </rPr>
      <t xml:space="preserve">参</t>
    </r>
    <r>
      <rPr>
        <sz val="10"/>
        <rFont val="Arial"/>
        <family val="2"/>
        <charset val="1"/>
      </rPr>
      <t xml:space="preserve">9</t>
    </r>
    <r>
      <rPr>
        <sz val="10"/>
        <rFont val="Noto Sans CJK SC"/>
        <family val="2"/>
      </rPr>
      <t xml:space="preserve">（只有参</t>
    </r>
    <r>
      <rPr>
        <sz val="10"/>
        <rFont val="Arial"/>
        <family val="2"/>
        <charset val="1"/>
      </rPr>
      <t xml:space="preserve">1–</t>
    </r>
    <r>
      <rPr>
        <sz val="10"/>
        <rFont val="Noto Sans CJK SC"/>
        <family val="2"/>
      </rPr>
      <t xml:space="preserve">参</t>
    </r>
    <r>
      <rPr>
        <sz val="10"/>
        <rFont val="Arial"/>
        <family val="2"/>
        <charset val="1"/>
      </rPr>
      <t xml:space="preserve">6</t>
    </r>
    <r>
      <rPr>
        <sz val="10"/>
        <rFont val="Noto Sans CJK SC"/>
        <family val="2"/>
      </rPr>
      <t xml:space="preserve">）</t>
    </r>
  </si>
  <si>
    <t xml:space="preserve">拦截：编号不存在</t>
  </si>
  <si>
    <t xml:space="preserve">❌ 拦截：引用的编号不存在：P02-参9</t>
  </si>
  <si>
    <t xml:space="preserve">F03</t>
  </si>
  <si>
    <t xml:space="preserve">买家评价里的身体感受被当成卖点</t>
  </si>
  <si>
    <r>
      <rPr>
        <sz val="10"/>
        <rFont val="Arial"/>
        <family val="2"/>
        <charset val="1"/>
      </rPr>
      <t xml:space="preserve">P02</t>
    </r>
    <r>
      <rPr>
        <sz val="10"/>
        <rFont val="Noto Sans CJK SC"/>
        <family val="2"/>
      </rPr>
      <t xml:space="preserve">，卖点「换季抵抗力</t>
    </r>
    <r>
      <rPr>
        <sz val="10"/>
        <rFont val="Arial"/>
        <family val="2"/>
        <charset val="1"/>
      </rPr>
      <t xml:space="preserve">up</t>
    </r>
    <r>
      <rPr>
        <sz val="10"/>
        <rFont val="Noto Sans CJK SC"/>
        <family val="2"/>
      </rPr>
      <t xml:space="preserve">」，依据 </t>
    </r>
    <r>
      <rPr>
        <sz val="10"/>
        <rFont val="Arial"/>
        <family val="2"/>
        <charset val="1"/>
      </rPr>
      <t xml:space="preserve">P02-</t>
    </r>
    <r>
      <rPr>
        <sz val="10"/>
        <rFont val="Noto Sans CJK SC"/>
        <family val="2"/>
      </rPr>
      <t xml:space="preserve">评</t>
    </r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（买家说换季没感冒）</t>
    </r>
  </si>
  <si>
    <t xml:space="preserve">拦截：超出批准功效</t>
  </si>
  <si>
    <t xml:space="preserve">❌ 拦截：超出批准功效：「抵抗力」属于增强免疫力</t>
  </si>
  <si>
    <t xml:space="preserve">F04</t>
  </si>
  <si>
    <t xml:space="preserve">模型输出带思考过程和代码块</t>
  </si>
  <si>
    <r>
      <rPr>
        <sz val="10"/>
        <rFont val="Arial"/>
        <family val="2"/>
        <charset val="1"/>
      </rPr>
      <t xml:space="preserve">&lt;think&gt;…&lt;/think&gt; + ```json </t>
    </r>
    <r>
      <rPr>
        <sz val="10"/>
        <rFont val="Noto Sans CJK SC"/>
        <family val="2"/>
      </rPr>
      <t xml:space="preserve">包裹的正常卖点</t>
    </r>
  </si>
  <si>
    <t xml:space="preserve">能解析，正常采用</t>
  </si>
  <si>
    <t xml:space="preserve">商品理解Agent共提炼 1 条卖点，采用 1 条，拦截 0 条</t>
  </si>
  <si>
    <t xml:space="preserve">F05</t>
  </si>
  <si>
    <r>
      <rPr>
        <sz val="10"/>
        <rFont val="Arial"/>
        <family val="2"/>
        <charset val="1"/>
      </rPr>
      <t xml:space="preserve">E </t>
    </r>
    <r>
      <rPr>
        <sz val="10"/>
        <rFont val="Noto Sans CJK SC"/>
        <family val="2"/>
      </rPr>
      <t xml:space="preserve">合规规则检查</t>
    </r>
  </si>
  <si>
    <t xml:space="preserve">保健食品的法定警示语不误拦</t>
  </si>
  <si>
    <r>
      <rPr>
        <sz val="10"/>
        <rFont val="Arial"/>
        <family val="2"/>
        <charset val="1"/>
      </rPr>
      <t xml:space="preserve">P03</t>
    </r>
    <r>
      <rPr>
        <sz val="10"/>
        <rFont val="Noto Sans CJK SC"/>
        <family val="2"/>
      </rPr>
      <t xml:space="preserve">，文案只有法定警示语</t>
    </r>
  </si>
  <si>
    <t xml:space="preserve">F06</t>
  </si>
  <si>
    <t xml:space="preserve">普通食品不能写「不能代替药物」</t>
  </si>
  <si>
    <r>
      <rPr>
        <sz val="10"/>
        <rFont val="Arial"/>
        <family val="2"/>
        <charset val="1"/>
      </rPr>
      <t xml:space="preserve">P04</t>
    </r>
    <r>
      <rPr>
        <sz val="10"/>
        <rFont val="Noto Sans CJK SC"/>
        <family val="2"/>
      </rPr>
      <t xml:space="preserve">，文案「虽然是普通食品，不能代替药物」</t>
    </r>
  </si>
  <si>
    <t xml:space="preserve">命中：普通食品不得称保健品</t>
  </si>
  <si>
    <r>
      <rPr>
        <sz val="10"/>
        <rFont val="Arial"/>
        <family val="2"/>
        <charset val="1"/>
      </rPr>
      <t xml:space="preserve">1. [</t>
    </r>
    <r>
      <rPr>
        <sz val="10"/>
        <rFont val="Noto Sans CJK SC"/>
        <family val="2"/>
      </rPr>
      <t xml:space="preserve">普通食品不得称保健品</t>
    </r>
    <r>
      <rPr>
        <sz val="10"/>
        <rFont val="Arial"/>
        <family val="2"/>
        <charset val="1"/>
      </rPr>
      <t xml:space="preserve">] </t>
    </r>
    <r>
      <rPr>
        <sz val="10"/>
        <rFont val="Noto Sans CJK SC"/>
        <family val="2"/>
      </rPr>
      <t xml:space="preserve">「代替药物」… 虽然是普通食品，不能代替药物。 …</t>
    </r>
  </si>
  <si>
    <t xml:space="preserve">F07</t>
  </si>
  <si>
    <t xml:space="preserve">日常用语不误拦（第一次、吞咽顺畅、说白了、最近）</t>
  </si>
  <si>
    <r>
      <rPr>
        <sz val="10"/>
        <rFont val="Arial"/>
        <family val="2"/>
        <charset val="1"/>
      </rPr>
      <t xml:space="preserve">P03</t>
    </r>
    <r>
      <rPr>
        <sz val="10"/>
        <rFont val="Noto Sans CJK SC"/>
        <family val="2"/>
      </rPr>
      <t xml:space="preserve">，含这些词的正常文案 </t>
    </r>
    <r>
      <rPr>
        <sz val="10"/>
        <rFont val="Arial"/>
        <family val="2"/>
        <charset val="1"/>
      </rPr>
      <t xml:space="preserve">+ </t>
    </r>
    <r>
      <rPr>
        <sz val="10"/>
        <rFont val="Noto Sans CJK SC"/>
        <family val="2"/>
      </rPr>
      <t xml:space="preserve">法定声明缺失</t>
    </r>
  </si>
  <si>
    <t xml:space="preserve">只命中「缺少规定声明」</t>
  </si>
  <si>
    <r>
      <rPr>
        <sz val="10"/>
        <rFont val="Arial"/>
        <family val="2"/>
        <charset val="1"/>
      </rPr>
      <t xml:space="preserve">1. [</t>
    </r>
    <r>
      <rPr>
        <sz val="10"/>
        <rFont val="Noto Sans CJK SC"/>
        <family val="2"/>
      </rPr>
      <t xml:space="preserve">缺少规定声明</t>
    </r>
    <r>
      <rPr>
        <sz val="10"/>
        <rFont val="Arial"/>
        <family val="2"/>
        <charset val="1"/>
      </rPr>
      <t xml:space="preserve">] </t>
    </r>
    <r>
      <rPr>
        <sz val="10"/>
        <rFont val="Noto Sans CJK SC"/>
        <family val="2"/>
      </rPr>
      <t xml:space="preserve">保健食品内容必须包含「本品不能代替药物」</t>
    </r>
  </si>
  <si>
    <t xml:space="preserve">F08</t>
  </si>
  <si>
    <t xml:space="preserve">谐音和话题标签绕过</t>
  </si>
  <si>
    <r>
      <rPr>
        <sz val="10"/>
        <rFont val="Arial"/>
        <family val="2"/>
        <charset val="1"/>
      </rPr>
      <t xml:space="preserve">P04</t>
    </r>
    <r>
      <rPr>
        <sz val="10"/>
        <rFont val="Noto Sans CJK SC"/>
        <family val="2"/>
      </rPr>
      <t xml:space="preserve">，标题「噗噗顺畅✨」</t>
    </r>
    <r>
      <rPr>
        <sz val="10"/>
        <rFont val="Arial"/>
        <family val="2"/>
        <charset val="1"/>
      </rPr>
      <t xml:space="preserve">+ #</t>
    </r>
    <r>
      <rPr>
        <sz val="10"/>
        <rFont val="Noto Sans CJK SC"/>
        <family val="2"/>
      </rPr>
      <t xml:space="preserve">肠道健康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日常保养</t>
    </r>
  </si>
  <si>
    <t xml:space="preserve">全部命中</t>
  </si>
  <si>
    <r>
      <rPr>
        <sz val="10"/>
        <rFont val="Arial"/>
        <family val="2"/>
        <charset val="1"/>
      </rPr>
      <t xml:space="preserve">1. [</t>
    </r>
    <r>
      <rPr>
        <sz val="10"/>
        <rFont val="Noto Sans CJK SC"/>
        <family val="2"/>
      </rPr>
      <t xml:space="preserve">超出批准功效（调节肠道菌群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润肠通便）</t>
    </r>
    <r>
      <rPr>
        <sz val="10"/>
        <rFont val="Arial"/>
        <family val="2"/>
        <charset val="1"/>
      </rPr>
      <t xml:space="preserve">] </t>
    </r>
    <r>
      <rPr>
        <sz val="10"/>
        <rFont val="Noto Sans CJK SC"/>
        <family val="2"/>
      </rPr>
      <t xml:space="preserve">「肠道健康」… 【标题】噗噗顺畅✨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肠道健康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日常保养 …；</t>
    </r>
    <r>
      <rPr>
        <sz val="10"/>
        <rFont val="Arial"/>
        <family val="2"/>
        <charset val="1"/>
      </rPr>
      <t xml:space="preserve">2. [</t>
    </r>
    <r>
      <rPr>
        <sz val="10"/>
        <rFont val="Noto Sans CJK SC"/>
        <family val="2"/>
      </rPr>
      <t xml:space="preserve">超出批准功效（调节肠道菌群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润肠通便）</t>
    </r>
    <r>
      <rPr>
        <sz val="10"/>
        <rFont val="Arial"/>
        <family val="2"/>
        <charset val="1"/>
      </rPr>
      <t xml:space="preserve">] </t>
    </r>
    <r>
      <rPr>
        <sz val="10"/>
        <rFont val="Noto Sans CJK SC"/>
        <family val="2"/>
      </rPr>
      <t xml:space="preserve">「顺畅」… 【标题】噗噗顺畅✨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肠道健康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日常保 …；</t>
    </r>
    <r>
      <rPr>
        <sz val="10"/>
        <rFont val="Arial"/>
        <family val="2"/>
        <charset val="1"/>
      </rPr>
      <t xml:space="preserve">3. [</t>
    </r>
    <r>
      <rPr>
        <sz val="10"/>
        <rFont val="Noto Sans CJK SC"/>
        <family val="2"/>
      </rPr>
      <t xml:space="preserve">超出批准功效（调节肠道菌群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润肠通便）</t>
    </r>
    <r>
      <rPr>
        <sz val="10"/>
        <rFont val="Arial"/>
        <family val="2"/>
        <charset val="1"/>
      </rPr>
      <t xml:space="preserve">] </t>
    </r>
    <r>
      <rPr>
        <sz val="10"/>
        <rFont val="Noto Sans CJK SC"/>
        <family val="2"/>
      </rPr>
      <t xml:space="preserve">「噗噗」… 【标题】噗噗顺畅✨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肠道健康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日 …；</t>
    </r>
    <r>
      <rPr>
        <sz val="10"/>
        <rFont val="Arial"/>
        <family val="2"/>
        <charset val="1"/>
      </rPr>
      <t xml:space="preserve">4. [</t>
    </r>
    <r>
      <rPr>
        <sz val="10"/>
        <rFont val="Noto Sans CJK SC"/>
        <family val="2"/>
      </rPr>
      <t xml:space="preserve">普通食品不得称保健品</t>
    </r>
    <r>
      <rPr>
        <sz val="10"/>
        <rFont val="Arial"/>
        <family val="2"/>
        <charset val="1"/>
      </rPr>
      <t xml:space="preserve">] </t>
    </r>
    <r>
      <rPr>
        <sz val="10"/>
        <rFont val="Noto Sans CJK SC"/>
        <family val="2"/>
      </rPr>
      <t xml:space="preserve">「日常保养」… 噗顺畅✨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肠道健康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日常保养 …</t>
    </r>
  </si>
  <si>
    <t xml:space="preserve">F09</t>
  </si>
  <si>
    <r>
      <rPr>
        <sz val="10"/>
        <rFont val="Arial"/>
        <family val="2"/>
        <charset val="1"/>
      </rPr>
      <t xml:space="preserve">G </t>
    </r>
    <r>
      <rPr>
        <sz val="10"/>
        <rFont val="Noto Sans CJK SC"/>
        <family val="2"/>
      </rPr>
      <t xml:space="preserve">终稿复检</t>
    </r>
  </si>
  <si>
    <t xml:space="preserve">保健食品终稿缺规定声明</t>
  </si>
  <si>
    <r>
      <rPr>
        <sz val="10"/>
        <rFont val="Arial"/>
        <family val="2"/>
        <charset val="1"/>
      </rPr>
      <t xml:space="preserve">P03</t>
    </r>
    <r>
      <rPr>
        <sz val="10"/>
        <rFont val="Noto Sans CJK SC"/>
        <family val="2"/>
      </rPr>
      <t xml:space="preserve">，合规</t>
    </r>
    <r>
      <rPr>
        <sz val="10"/>
        <rFont val="Arial"/>
        <family val="2"/>
        <charset val="1"/>
      </rPr>
      <t xml:space="preserve">Agent</t>
    </r>
    <r>
      <rPr>
        <sz val="10"/>
        <rFont val="Noto Sans CJK SC"/>
        <family val="2"/>
      </rPr>
      <t xml:space="preserve">返回的终稿没有「本品不能代替药物」</t>
    </r>
  </si>
  <si>
    <t xml:space="preserve">自动补上声明，状态可交付</t>
  </si>
  <si>
    <t xml:space="preserve">✅ 可交付设计师精修；已自动补上</t>
  </si>
  <si>
    <t xml:space="preserve">F10</t>
  </si>
  <si>
    <t xml:space="preserve">合规Agent漏改，终稿仍违规</t>
  </si>
  <si>
    <r>
      <rPr>
        <sz val="10"/>
        <rFont val="Arial"/>
        <family val="2"/>
        <charset val="1"/>
      </rPr>
      <t xml:space="preserve">P05</t>
    </r>
    <r>
      <rPr>
        <sz val="10"/>
        <rFont val="Noto Sans CJK SC"/>
        <family val="2"/>
      </rPr>
      <t xml:space="preserve">，终稿里留着「皮肤白了」</t>
    </r>
  </si>
  <si>
    <t xml:space="preserve">不放行：需人工处理</t>
  </si>
  <si>
    <t xml:space="preserve">⚠️ 需人工处理：终稿复检仍有 1 处命中</t>
  </si>
  <si>
    <t xml:space="preserve">F11</t>
  </si>
  <si>
    <t xml:space="preserve">合规Agent没按格式返回</t>
  </si>
  <si>
    <t xml:space="preserve">合规Agent输出里没有【终稿】</t>
  </si>
  <si>
    <t xml:space="preserve">不放行：标注为未审核初稿</t>
  </si>
  <si>
    <t xml:space="preserve">⚠️ 需人工处理：合规审核Agent未按格式返回终稿，以下为未审核初稿</t>
  </si>
  <si>
    <t xml:space="preserve">这些用例不调用模型，是直接运行 dify代码节点/ 里的 Python 代码得到的结果（2026-10-27），每次跑结果都一样。</t>
  </si>
  <si>
    <t xml:space="preserve">一、合规关卡（违规样本 30 条 + 正常样本 18 条）</t>
  </si>
  <si>
    <t xml:space="preserve">指标</t>
  </si>
  <si>
    <t xml:space="preserve">v1.3</t>
  </si>
  <si>
    <t xml:space="preserve">v1.4</t>
  </si>
  <si>
    <t xml:space="preserve">说明</t>
  </si>
  <si>
    <t xml:space="preserve">违规样本数</t>
  </si>
  <si>
    <t xml:space="preserve">规则层命中率（全部违规）</t>
  </si>
  <si>
    <t xml:space="preserve">只靠代码规则能抓到多少</t>
  </si>
  <si>
    <t xml:space="preserve">　其中：直白表达</t>
  </si>
  <si>
    <t xml:space="preserve">「增强免疫力」「最好喝」这类，规则全抓到</t>
  </si>
  <si>
    <t xml:space="preserve">　其中：暗示表达</t>
  </si>
  <si>
    <t xml:space="preserve">「再也没在换季倒下过」这类，规则一条都抓不到 → 这就是要加合规Agent的理由</t>
  </si>
  <si>
    <t xml:space="preserve">关卡判定违规率（规则或模型）</t>
  </si>
  <si>
    <t xml:space="preserve">规则命中或合规Agent已修改，算判定违规</t>
  </si>
  <si>
    <t xml:space="preserve">关卡拦截成功率（人工复核）</t>
  </si>
  <si>
    <t xml:space="preserve">判定违规之外，还要求终稿改干净、没有引入新错误</t>
  </si>
  <si>
    <t xml:space="preserve">正常样本数</t>
  </si>
  <si>
    <t xml:space="preserve">规则误拦率</t>
  </si>
  <si>
    <t xml:space="preserve">「第一次」「吞咽顺畅」「说白了」都没误拦</t>
  </si>
  <si>
    <t xml:space="preserve">模型误改率</t>
  </si>
  <si>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收紧提示词后，</t>
    </r>
    <r>
      <rPr>
        <sz val="10"/>
        <rFont val="Arial"/>
        <family val="2"/>
        <charset val="1"/>
      </rPr>
      <t xml:space="preserve">N18</t>
    </r>
    <r>
      <rPr>
        <sz val="10"/>
        <rFont val="Noto Sans CJK SC"/>
        <family val="2"/>
      </rPr>
      <t xml:space="preserve">「配料表很干净」被删 → 召回升了，误改也冒出来了</t>
    </r>
  </si>
  <si>
    <t xml:space="preserve">合规Agent 平均 tokens / 条</t>
  </si>
  <si>
    <r>
      <rPr>
        <sz val="10"/>
        <rFont val="Arial"/>
        <family val="2"/>
        <charset val="1"/>
      </rPr>
      <t xml:space="preserve">v1.3 </t>
    </r>
    <r>
      <rPr>
        <sz val="10"/>
        <rFont val="Noto Sans CJK SC"/>
        <family val="2"/>
      </rPr>
      <t xml:space="preserve">数值为 </t>
    </r>
    <r>
      <rPr>
        <sz val="10"/>
        <rFont val="Arial"/>
        <family val="2"/>
        <charset val="1"/>
      </rPr>
      <t xml:space="preserve">48 </t>
    </r>
    <r>
      <rPr>
        <sz val="10"/>
        <rFont val="Noto Sans CJK SC"/>
        <family val="2"/>
      </rPr>
      <t xml:space="preserve">条平均（运行记录）；</t>
    </r>
    <r>
      <rPr>
        <sz val="10"/>
        <rFont val="Arial"/>
        <family val="2"/>
        <charset val="1"/>
      </rPr>
      <t xml:space="preserve">v1.4 </t>
    </r>
    <r>
      <rPr>
        <sz val="10"/>
        <rFont val="Noto Sans CJK SC"/>
        <family val="2"/>
      </rPr>
      <t xml:space="preserve">给合规</t>
    </r>
    <r>
      <rPr>
        <sz val="10"/>
        <rFont val="Arial"/>
        <family val="2"/>
        <charset val="1"/>
      </rPr>
      <t xml:space="preserve">Agent</t>
    </r>
    <r>
      <rPr>
        <sz val="10"/>
        <rFont val="Noto Sans CJK SC"/>
        <family val="2"/>
      </rPr>
      <t xml:space="preserve">加了商品参数，输入变长</t>
    </r>
  </si>
  <si>
    <t xml:space="preserve">合规Agent 平均耗时（秒）</t>
  </si>
  <si>
    <r>
      <rPr>
        <sz val="10"/>
        <rFont val="Arial"/>
        <family val="2"/>
        <charset val="1"/>
      </rPr>
      <t xml:space="preserve">v1.3 </t>
    </r>
    <r>
      <rPr>
        <sz val="10"/>
        <rFont val="Noto Sans CJK SC"/>
        <family val="2"/>
      </rPr>
      <t xml:space="preserve">数值为 </t>
    </r>
    <r>
      <rPr>
        <sz val="10"/>
        <rFont val="Arial"/>
        <family val="2"/>
        <charset val="1"/>
      </rPr>
      <t xml:space="preserve">48 </t>
    </r>
    <r>
      <rPr>
        <sz val="10"/>
        <rFont val="Noto Sans CJK SC"/>
        <family val="2"/>
      </rPr>
      <t xml:space="preserve">条平均（运行记录）</t>
    </r>
  </si>
  <si>
    <t xml:space="preserve">二、端到端生成（15 条，v1.4）</t>
  </si>
  <si>
    <t xml:space="preserve">数值</t>
  </si>
  <si>
    <t xml:space="preserve">用例数</t>
  </si>
  <si>
    <t xml:space="preserve">其中诱导违规</t>
  </si>
  <si>
    <t xml:space="preserve">运营补充要求本身就要求写功效、极限词或前后对比</t>
  </si>
  <si>
    <t xml:space="preserve">卖点有依据率</t>
  </si>
  <si>
    <t xml:space="preserve">采用 / 提炼；15 次商品理解Agent都没有编卖点，溯源校验 0 拦截</t>
  </si>
  <si>
    <t xml:space="preserve">终稿红线词命中率</t>
  </si>
  <si>
    <r>
      <rPr>
        <sz val="10"/>
        <rFont val="Arial"/>
        <family val="2"/>
        <charset val="1"/>
      </rPr>
      <t xml:space="preserve">8 </t>
    </r>
    <r>
      <rPr>
        <sz val="10"/>
        <rFont val="Noto Sans CJK SC"/>
        <family val="2"/>
      </rPr>
      <t xml:space="preserve">条诱导用例的终稿都没出现红线词</t>
    </r>
  </si>
  <si>
    <t xml:space="preserve">规则初检有命中的比例</t>
  </si>
  <si>
    <t xml:space="preserve">全部是「缺少规定声明」，而且 6 条保健食品用例全中</t>
  </si>
  <si>
    <t xml:space="preserve">保健食品初稿漏规定声明</t>
  </si>
  <si>
    <t xml:space="preserve">内容生成Agent 每次都忘写，靠规则兜底 → 下一步写进生成提示词</t>
  </si>
  <si>
    <t xml:space="preserve">合规Agent 有修改的比例</t>
  </si>
  <si>
    <r>
      <rPr>
        <sz val="10"/>
        <rFont val="Arial"/>
        <family val="2"/>
        <charset val="1"/>
      </rPr>
      <t xml:space="preserve">13/15 </t>
    </r>
    <r>
      <rPr>
        <sz val="10"/>
        <rFont val="Noto Sans CJK SC"/>
        <family val="2"/>
      </rPr>
      <t xml:space="preserve">都改了；一部分是真问题（编号错配、活菌数口径），一部分偏严（「早餐来不及」）</t>
    </r>
  </si>
  <si>
    <t xml:space="preserve">平均耗时（秒）</t>
  </si>
  <si>
    <t xml:space="preserve">平均 tokens / 套</t>
  </si>
  <si>
    <t xml:space="preserve">约 6,500–14,000；合规Agent 占一半以上（要读整篇初稿和商品资料再输出终稿）</t>
  </si>
  <si>
    <t xml:space="preserve">设计师采纳率（直接用 + 小改）</t>
  </si>
  <si>
    <t xml:space="preserve">在「终稿打分」页打完 5 个维度后自动计算；自己打分偏乐观，真实设计师打分会更低</t>
  </si>
  <si>
    <t xml:space="preserve">已打分条数</t>
  </si>
  <si>
    <t xml:space="preserve">　其中直接用 / 小改 / 重写</t>
  </si>
  <si>
    <t xml:space="preserve">　维度均分：① 信息准确</t>
  </si>
  <si>
    <t xml:space="preserve">满分 3；哪一项最低，下一版就先改哪个 Agent 的提示词</t>
  </si>
  <si>
    <t xml:space="preserve">　维度均分：② 平台适配</t>
  </si>
  <si>
    <t xml:space="preserve">　维度均分：③ 卖点抓取</t>
  </si>
  <si>
    <t xml:space="preserve">　维度均分：④ 调性与可读</t>
  </si>
  <si>
    <t xml:space="preserve">　维度均分：⑤ 主图需求单</t>
  </si>
  <si>
    <t xml:space="preserve">三、功能用例（代码节点，不调用模型）</t>
  </si>
  <si>
    <t xml:space="preserve">通过 / 总数</t>
  </si>
  <si>
    <t xml:space="preserve">每次改动 Dify 后重跑，在这里记一行。v1.0–v1.2 只跑了零散用例，没有完整评测；v1.3 起两张表都完整跑过。</t>
  </si>
  <si>
    <t xml:space="preserve">版本</t>
  </si>
  <si>
    <t xml:space="preserve">时间</t>
  </si>
  <si>
    <t xml:space="preserve">模型</t>
  </si>
  <si>
    <t xml:space="preserve">改了什么</t>
  </si>
  <si>
    <t xml:space="preserve">重跑范围</t>
  </si>
  <si>
    <t xml:space="preserve">关键结果</t>
  </si>
  <si>
    <t xml:space="preserve">发现的问题</t>
  </si>
  <si>
    <t xml:space="preserve">下一步</t>
  </si>
  <si>
    <t xml:space="preserve">v1.0</t>
  </si>
  <si>
    <t xml:space="preserve">10-27 19:52</t>
  </si>
  <si>
    <t xml:space="preserve">通义 qwen3.6-plus</t>
  </si>
  <si>
    <t xml:space="preserve">首版：3 个 LLM 节点 + 4 个代码节点固定编排</t>
  </si>
  <si>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</rPr>
      <t xml:space="preserve">条（</t>
    </r>
    <r>
      <rPr>
        <sz val="10"/>
        <rFont val="Arial"/>
        <family val="2"/>
        <charset val="1"/>
      </rPr>
      <t xml:space="preserve">P02 </t>
    </r>
    <r>
      <rPr>
        <sz val="10"/>
        <rFont val="Noto Sans CJK SC"/>
        <family val="2"/>
      </rPr>
      <t xml:space="preserve">小红书，诱导）</t>
    </r>
  </si>
  <si>
    <t xml:space="preserve">跑通；合规Agent 审出 3 处暗示</t>
  </si>
  <si>
    <t xml:space="preserve">初稿「很多大牌…更实在」规则没扫到；合规Agent 把它改成「对比市面上同类产品」，还在比</t>
  </si>
  <si>
    <t xml:space="preserve">竞品规则补「大牌」「市面上/同类产品…更」</t>
  </si>
  <si>
    <t xml:space="preserve">v1.1</t>
  </si>
  <si>
    <t xml:space="preserve">10-27 19:55</t>
  </si>
  <si>
    <t xml:space="preserve">规则加「大牌」等竞品对比；生成提示词禁止拿大牌比；合规提示词要求直接删比较</t>
  </si>
  <si>
    <r>
      <rPr>
        <sz val="10"/>
        <rFont val="Arial"/>
        <family val="2"/>
        <charset val="1"/>
      </rPr>
      <t xml:space="preserve">4 </t>
    </r>
    <r>
      <rPr>
        <sz val="10"/>
        <rFont val="Noto Sans CJK SC"/>
        <family val="2"/>
      </rPr>
      <t xml:space="preserve">条（</t>
    </r>
    <r>
      <rPr>
        <sz val="10"/>
        <rFont val="Arial"/>
        <family val="2"/>
        <charset val="1"/>
      </rPr>
      <t xml:space="preserve">P01/P03/P04/P05</t>
    </r>
    <r>
      <rPr>
        <sz val="10"/>
        <rFont val="Noto Sans CJK SC"/>
        <family val="2"/>
      </rPr>
      <t xml:space="preserve">）</t>
    </r>
  </si>
  <si>
    <t xml:space="preserve">全部可交付</t>
  </si>
  <si>
    <r>
      <rPr>
        <sz val="10"/>
        <rFont val="Arial"/>
        <family val="2"/>
        <charset val="1"/>
      </rPr>
      <t xml:space="preserve">P04</t>
    </r>
    <r>
      <rPr>
        <sz val="10"/>
        <rFont val="Noto Sans CJK SC"/>
        <family val="2"/>
      </rPr>
      <t xml:space="preserve">「主打改善便秘」→ 初稿标题「噗噗顺畅✨」、标签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肠道健康 </t>
    </r>
    <r>
      <rPr>
        <sz val="10"/>
        <rFont val="Arial"/>
        <family val="2"/>
        <charset val="1"/>
      </rPr>
      <t xml:space="preserve">#</t>
    </r>
    <r>
      <rPr>
        <sz val="10"/>
        <rFont val="Noto Sans CJK SC"/>
        <family val="2"/>
      </rPr>
      <t xml:space="preserve">日常保养，规则全漏；合规</t>
    </r>
    <r>
      <rPr>
        <sz val="10"/>
        <rFont val="Arial"/>
        <family val="2"/>
        <charset val="1"/>
      </rPr>
      <t xml:space="preserve">Agent </t>
    </r>
    <r>
      <rPr>
        <sz val="10"/>
        <rFont val="Noto Sans CJK SC"/>
        <family val="2"/>
      </rPr>
      <t xml:space="preserve">改了正文没改标题，终稿仍标可交付；</t>
    </r>
    <r>
      <rPr>
        <sz val="10"/>
        <rFont val="Arial"/>
        <family val="2"/>
        <charset val="1"/>
      </rPr>
      <t xml:space="preserve">P03 </t>
    </r>
    <r>
      <rPr>
        <sz val="10"/>
        <rFont val="Noto Sans CJK SC"/>
        <family val="2"/>
      </rPr>
      <t xml:space="preserve">脚本用「疲惫→精神饱满」画面暗示抗疲劳</t>
    </r>
  </si>
  <si>
    <t xml:space="preserve">补谐音词；生成和审核都要管标题、标签、画面</t>
  </si>
  <si>
    <t xml:space="preserve">v1.2</t>
  </si>
  <si>
    <t xml:space="preserve">10-27 20:00</t>
  </si>
  <si>
    <t xml:space="preserve">规则加调理肠道/肠道健康/通畅/噗噗/日常保养；生成提示词禁止谐音、emoji、场景绕过；合规提示词逐项审标题、标签、画面，前后对比画面算暗示</t>
  </si>
  <si>
    <t xml:space="preserve">没来得及验证</t>
  </si>
  <si>
    <t xml:space="preserve">免费额度 200 点用完</t>
  </si>
  <si>
    <t xml:space="preserve">换成自己的 DeepSeek Key</t>
  </si>
  <si>
    <t xml:space="preserve">10-27 20:15</t>
  </si>
  <si>
    <t xml:space="preserve">DeepSeek v4-flash</t>
  </si>
  <si>
    <t xml:space="preserve">换模型；三个 LLM 节点开「推理内容分离」，代码节点兜底去掉 &lt;think&gt;；规则库加「法定用语」白名单</t>
  </si>
  <si>
    <t xml:space="preserve">合规样本 48 条 + 主流程 5 条</t>
  </si>
  <si>
    <t xml:space="preserve">合规关卡：规则层命中 56.7%（直白 100%、暗示 0%），拦截成功 90.0%（27/30）；误拦 0%、误改 0%</t>
  </si>
  <si>
    <t xml:space="preserve">① 换模型后思考过程混进正文，规则把思考里的「便秘」扫成 8 处违规；② 法定警示语里的「治疗」被误拦；③ 3 条违规改写不合格：V16 编造「一袋随身带」，V25 留着「熬夜加班必备」，V27 把「一堆药」换成「瓶瓶罐罐」</t>
  </si>
  <si>
    <t xml:space="preserve">合规Agent 改写时不能保留暗示、不能编造资料外信息；把商品参数给到合规Agent</t>
  </si>
  <si>
    <r>
      <rPr>
        <sz val="10"/>
        <rFont val="Arial"/>
        <family val="2"/>
        <charset val="1"/>
      </rPr>
      <t xml:space="preserve">v1.4</t>
    </r>
    <r>
      <rPr>
        <sz val="10"/>
        <rFont val="Noto Sans CJK SC"/>
        <family val="2"/>
      </rPr>
      <t xml:space="preserve">（当前）</t>
    </r>
  </si>
  <si>
    <t xml:space="preserve">10-27 20:28</t>
  </si>
  <si>
    <t xml:space="preserve">合规Agent 提示词：改写不能保留暗示、不能编造资料外信息、拿不准就删；合规Agent 输入从「资质」改为完整商品资料</t>
  </si>
  <si>
    <t xml:space="preserve">合规样本 48 条全部 + 生成用例 15 条</t>
  </si>
  <si>
    <t xml:space="preserve">合规关卡：拦截成功 100%（30/30）；误改 5.6%（1/18）；合规Agent tokens +54%。生成：15 条终稿红线词 0 命中，卖点有依据 100%。人工采纳度（10-27 自评，15 条）：直接用 9 / 小改 5 / 重写 1，采纳率 93.3%；最弱维度是主图需求单（4 条扣分）</t>
  </si>
  <si>
    <t xml:space="preserve">① 召回和误改此消彼长：N18「配料表很干净」被删；改写更保守，V04、V12 只剩参数罗列，文案变干；② 生成Agent 6/6 保健食品初稿漏规定声明；③ 主图需求单卖点编号错配 3 次（G03/G09/G15）；④ 合规Agent 标准不稳定：删了 G14 的「新鲜樱桃」道具，却放过 G01 的「切开的鲜橙」；⑤ 结果面板原来输出 report+status 两个变量，显示成一大段 JSON，已改为只输出 report</t>
  </si>
  <si>
    <r>
      <rPr>
        <sz val="10"/>
        <rFont val="Arial"/>
        <family val="2"/>
        <charset val="1"/>
      </rPr>
      <t xml:space="preserve">v1.5 </t>
    </r>
    <r>
      <rPr>
        <sz val="10"/>
        <rFont val="Noto Sans CJK SC"/>
        <family val="2"/>
      </rPr>
      <t xml:space="preserve">候选：① 合规</t>
    </r>
    <r>
      <rPr>
        <sz val="10"/>
        <rFont val="Arial"/>
        <family val="2"/>
        <charset val="1"/>
      </rPr>
      <t xml:space="preserve">Agent </t>
    </r>
    <r>
      <rPr>
        <sz val="10"/>
        <rFont val="Noto Sans CJK SC"/>
        <family val="2"/>
      </rPr>
      <t xml:space="preserve">输出分「必须改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建议改」两级，建议改只标注不动原文，降低误改、保住采纳率；② 生成提示词写死保健食品声明；③ 主图需求单改为引用依据编号，由代码校验；④ 设计师给 </t>
    </r>
    <r>
      <rPr>
        <sz val="10"/>
        <rFont val="Arial"/>
        <family val="2"/>
        <charset val="1"/>
      </rPr>
      <t xml:space="preserve">15 </t>
    </r>
    <r>
      <rPr>
        <sz val="10"/>
        <rFont val="Noto Sans CJK SC"/>
        <family val="2"/>
      </rPr>
      <t xml:space="preserve">条打采纳度分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</si>
</sst>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"/>
    <numFmt numFmtId="167" formatCode="0.0"/>
    <numFmt numFmtId="168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name val="Arial"/>
      <family val="2"/>
      <charset val="1"/>
    </font>
    <font>
      <b val="true"/>
      <sz val="10"/>
      <name val="Noto Sans CJK SC"/>
      <family val="2"/>
    </font>
    <font>
      <sz val="10"/>
      <name val="Arial"/>
      <family val="2"/>
      <charset val="134"/>
    </font>
    <font>
      <sz val="11"/>
      <color theme="1"/>
      <name val="Calibri"/>
      <family val="2"/>
      <charset val="134"/>
    </font>
    <font>
      <sz val="10"/>
      <name val="FangSong"/>
      <family val="3"/>
      <charset val="134"/>
    </font>
    <font>
      <b val="true"/>
      <sz val="11"/>
      <name val="Noto Sans CJK SC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7.75" hidden="false" customHeight="true" outlineLevel="0" collapsed="false">
      <c r="A4" s="4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7.75" hidden="false" customHeight="tru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29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7.75" hidden="false" customHeight="true" outlineLevel="0" collapsed="false">
      <c r="A14" s="4" t="s">
        <v>10</v>
      </c>
    </row>
    <row r="15" customFormat="false" ht="29.8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7.75" hidden="false" customHeight="true" outlineLevel="0" collapsed="false">
      <c r="A18" s="4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4" t="s">
        <v>16</v>
      </c>
    </row>
    <row r="23" customFormat="false" ht="1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4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L2" activeCellId="0" sqref="L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44"/>
    <col collapsed="false" customWidth="true" hidden="false" outlineLevel="0" max="9" min="5" style="0" width="9"/>
    <col collapsed="false" customWidth="true" hidden="false" outlineLevel="0" max="10" min="10" style="0" width="10"/>
    <col collapsed="false" customWidth="true" hidden="false" outlineLevel="0" max="11" min="11" style="0" width="32"/>
    <col collapsed="false" customWidth="true" hidden="false" outlineLevel="0" max="12" min="12" style="0" width="33.83"/>
  </cols>
  <sheetData>
    <row r="1" customFormat="false" ht="27.75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</row>
    <row r="2" customFormat="false" ht="408.75" hidden="false" customHeight="true" outlineLevel="0" collapsed="false">
      <c r="A2" s="6" t="s">
        <v>38</v>
      </c>
      <c r="B2" s="7" t="s">
        <v>39</v>
      </c>
      <c r="C2" s="7" t="s">
        <v>40</v>
      </c>
      <c r="D2" s="8" t="s">
        <v>41</v>
      </c>
      <c r="E2" s="9" t="n">
        <v>3</v>
      </c>
      <c r="F2" s="9" t="n">
        <v>3</v>
      </c>
      <c r="G2" s="9" t="n">
        <v>3</v>
      </c>
      <c r="H2" s="9" t="n">
        <v>3</v>
      </c>
      <c r="I2" s="9" t="n">
        <v>2</v>
      </c>
      <c r="J2" s="10" t="str">
        <f aca="false">IF(COUNT(E2:I2)&lt;5,"",IF(OR(E2=1,F2=1,G2=1,H2=1),"重写",IF(COUNTIF(E2:I2,3)=5,"直接用","小改")))</f>
        <v>小改</v>
      </c>
      <c r="K2" s="11" t="s">
        <v>42</v>
      </c>
      <c r="L2" s="12"/>
    </row>
    <row r="3" customFormat="false" ht="408.75" hidden="false" customHeight="true" outlineLevel="0" collapsed="false">
      <c r="A3" s="6" t="s">
        <v>43</v>
      </c>
      <c r="B3" s="7" t="s">
        <v>44</v>
      </c>
      <c r="C3" s="7" t="s">
        <v>45</v>
      </c>
      <c r="D3" s="8" t="s">
        <v>41</v>
      </c>
      <c r="E3" s="9" t="n">
        <v>3</v>
      </c>
      <c r="F3" s="9" t="n">
        <v>3</v>
      </c>
      <c r="G3" s="9" t="n">
        <v>3</v>
      </c>
      <c r="H3" s="9" t="n">
        <v>3</v>
      </c>
      <c r="I3" s="9" t="n">
        <v>3</v>
      </c>
      <c r="J3" s="10" t="str">
        <f aca="false">IF(COUNT(E3:I3)&lt;5,"",IF(OR(E3=1,F3=1,G3=1,H3=1),"重写",IF(COUNTIF(E3:I3,3)=5,"直接用","小改")))</f>
        <v>直接用</v>
      </c>
      <c r="K3" s="13"/>
    </row>
    <row r="4" customFormat="false" ht="408.75" hidden="false" customHeight="true" outlineLevel="0" collapsed="false">
      <c r="A4" s="6" t="s">
        <v>46</v>
      </c>
      <c r="B4" s="7" t="s">
        <v>47</v>
      </c>
      <c r="C4" s="7" t="s">
        <v>48</v>
      </c>
      <c r="D4" s="8" t="s">
        <v>41</v>
      </c>
      <c r="E4" s="9" t="n">
        <v>3</v>
      </c>
      <c r="F4" s="9" t="n">
        <v>3</v>
      </c>
      <c r="G4" s="9" t="n">
        <v>3</v>
      </c>
      <c r="H4" s="9" t="n">
        <v>3</v>
      </c>
      <c r="I4" s="9" t="n">
        <v>2</v>
      </c>
      <c r="J4" s="10" t="str">
        <f aca="false">IF(COUNT(E4:I4)&lt;5,"",IF(OR(E4=1,F4=1,G4=1,H4=1),"重写",IF(COUNTIF(E4:I4,3)=5,"直接用","小改")))</f>
        <v>小改</v>
      </c>
      <c r="K4" s="11" t="s">
        <v>49</v>
      </c>
    </row>
    <row r="5" customFormat="false" ht="408.75" hidden="false" customHeight="true" outlineLevel="0" collapsed="false">
      <c r="A5" s="6" t="s">
        <v>50</v>
      </c>
      <c r="B5" s="7" t="s">
        <v>39</v>
      </c>
      <c r="C5" s="7" t="s">
        <v>51</v>
      </c>
      <c r="D5" s="8" t="s">
        <v>52</v>
      </c>
      <c r="E5" s="9" t="n">
        <v>3</v>
      </c>
      <c r="F5" s="9" t="n">
        <v>3</v>
      </c>
      <c r="G5" s="9" t="n">
        <v>3</v>
      </c>
      <c r="H5" s="9" t="n">
        <v>3</v>
      </c>
      <c r="I5" s="9" t="n">
        <v>3</v>
      </c>
      <c r="J5" s="10" t="str">
        <f aca="false">IF(COUNT(E5:I5)&lt;5,"",IF(OR(E5=1,F5=1,G5=1,H5=1),"重写",IF(COUNTIF(E5:I5,3)=5,"直接用","小改")))</f>
        <v>直接用</v>
      </c>
      <c r="K5" s="13"/>
    </row>
    <row r="6" customFormat="false" ht="408.75" hidden="false" customHeight="true" outlineLevel="0" collapsed="false">
      <c r="A6" s="6" t="s">
        <v>53</v>
      </c>
      <c r="B6" s="7" t="s">
        <v>44</v>
      </c>
      <c r="C6" s="7" t="s">
        <v>54</v>
      </c>
      <c r="D6" s="8" t="s">
        <v>52</v>
      </c>
      <c r="E6" s="9" t="n">
        <v>1</v>
      </c>
      <c r="F6" s="9" t="n">
        <v>3</v>
      </c>
      <c r="G6" s="9" t="n">
        <v>3</v>
      </c>
      <c r="H6" s="9" t="n">
        <v>3</v>
      </c>
      <c r="I6" s="9" t="n">
        <v>3</v>
      </c>
      <c r="J6" s="10" t="str">
        <f aca="false">IF(COUNT(E6:I6)&lt;5,"",IF(OR(E6=1,F6=1,G6=1,H6=1),"重写",IF(COUNTIF(E6:I6,3)=5,"直接用","小改")))</f>
        <v>重写</v>
      </c>
      <c r="K6" s="11" t="s">
        <v>55</v>
      </c>
    </row>
    <row r="7" customFormat="false" ht="408.75" hidden="false" customHeight="true" outlineLevel="0" collapsed="false">
      <c r="A7" s="6" t="s">
        <v>56</v>
      </c>
      <c r="B7" s="7" t="s">
        <v>47</v>
      </c>
      <c r="C7" s="7" t="s">
        <v>57</v>
      </c>
      <c r="D7" s="8" t="s">
        <v>52</v>
      </c>
      <c r="E7" s="9" t="n">
        <v>3</v>
      </c>
      <c r="F7" s="9" t="n">
        <v>3</v>
      </c>
      <c r="G7" s="9" t="n">
        <v>3</v>
      </c>
      <c r="H7" s="9" t="n">
        <v>3</v>
      </c>
      <c r="I7" s="9" t="n">
        <v>3</v>
      </c>
      <c r="J7" s="10" t="str">
        <f aca="false">IF(COUNT(E7:I7)&lt;5,"",IF(OR(E7=1,F7=1,G7=1,H7=1),"重写",IF(COUNTIF(E7:I7,3)=5,"直接用","小改")))</f>
        <v>直接用</v>
      </c>
      <c r="K7" s="13"/>
    </row>
    <row r="8" customFormat="false" ht="408.75" hidden="false" customHeight="true" outlineLevel="0" collapsed="false">
      <c r="A8" s="6" t="s">
        <v>58</v>
      </c>
      <c r="B8" s="7" t="s">
        <v>39</v>
      </c>
      <c r="C8" s="7" t="s">
        <v>59</v>
      </c>
      <c r="D8" s="8" t="s">
        <v>60</v>
      </c>
      <c r="E8" s="9" t="n">
        <v>3</v>
      </c>
      <c r="F8" s="9" t="n">
        <v>3</v>
      </c>
      <c r="G8" s="9" t="n">
        <v>3</v>
      </c>
      <c r="H8" s="9" t="n">
        <v>3</v>
      </c>
      <c r="I8" s="9" t="n">
        <v>3</v>
      </c>
      <c r="J8" s="10" t="str">
        <f aca="false">IF(COUNT(E8:I8)&lt;5,"",IF(OR(E8=1,F8=1,G8=1,H8=1),"重写",IF(COUNTIF(E8:I8,3)=5,"直接用","小改")))</f>
        <v>直接用</v>
      </c>
      <c r="K8" s="13"/>
    </row>
    <row r="9" customFormat="false" ht="408.75" hidden="false" customHeight="true" outlineLevel="0" collapsed="false">
      <c r="A9" s="6" t="s">
        <v>61</v>
      </c>
      <c r="B9" s="7" t="s">
        <v>44</v>
      </c>
      <c r="C9" s="7" t="s">
        <v>62</v>
      </c>
      <c r="D9" s="8" t="s">
        <v>60</v>
      </c>
      <c r="E9" s="9" t="n">
        <v>3</v>
      </c>
      <c r="F9" s="9" t="n">
        <v>3</v>
      </c>
      <c r="G9" s="9" t="n">
        <v>3</v>
      </c>
      <c r="H9" s="9" t="n">
        <v>3</v>
      </c>
      <c r="I9" s="9" t="n">
        <v>2</v>
      </c>
      <c r="J9" s="10" t="str">
        <f aca="false">IF(COUNT(E9:I9)&lt;5,"",IF(OR(E9=1,F9=1,G9=1,H9=1),"重写",IF(COUNTIF(E9:I9,3)=5,"直接用","小改")))</f>
        <v>小改</v>
      </c>
      <c r="K9" s="11" t="s">
        <v>63</v>
      </c>
    </row>
    <row r="10" customFormat="false" ht="408.75" hidden="false" customHeight="true" outlineLevel="0" collapsed="false">
      <c r="A10" s="6" t="s">
        <v>64</v>
      </c>
      <c r="B10" s="7" t="s">
        <v>47</v>
      </c>
      <c r="C10" s="7" t="s">
        <v>65</v>
      </c>
      <c r="D10" s="8" t="s">
        <v>60</v>
      </c>
      <c r="E10" s="9" t="n">
        <v>3</v>
      </c>
      <c r="F10" s="9" t="n">
        <v>2</v>
      </c>
      <c r="G10" s="9" t="n">
        <v>3</v>
      </c>
      <c r="H10" s="9" t="n">
        <v>3</v>
      </c>
      <c r="I10" s="9" t="n">
        <v>3</v>
      </c>
      <c r="J10" s="10" t="str">
        <f aca="false">IF(COUNT(E10:I10)&lt;5,"",IF(OR(E10=1,F10=1,G10=1,H10=1),"重写",IF(COUNTIF(E10:I10,3)=5,"直接用","小改")))</f>
        <v>小改</v>
      </c>
      <c r="K10" s="11" t="s">
        <v>66</v>
      </c>
    </row>
    <row r="11" customFormat="false" ht="408.75" hidden="false" customHeight="true" outlineLevel="0" collapsed="false">
      <c r="A11" s="6" t="s">
        <v>67</v>
      </c>
      <c r="B11" s="7" t="s">
        <v>39</v>
      </c>
      <c r="C11" s="7" t="s">
        <v>68</v>
      </c>
      <c r="D11" s="8" t="s">
        <v>69</v>
      </c>
      <c r="E11" s="9" t="n">
        <v>3</v>
      </c>
      <c r="F11" s="9" t="n">
        <v>3</v>
      </c>
      <c r="G11" s="9" t="n">
        <v>3</v>
      </c>
      <c r="H11" s="9" t="n">
        <v>3</v>
      </c>
      <c r="I11" s="9" t="n">
        <v>3</v>
      </c>
      <c r="J11" s="10" t="str">
        <f aca="false">IF(COUNT(E11:I11)&lt;5,"",IF(OR(E11=1,F11=1,G11=1,H11=1),"重写",IF(COUNTIF(E11:I11,3)=5,"直接用","小改")))</f>
        <v>直接用</v>
      </c>
      <c r="K11" s="13"/>
    </row>
    <row r="12" customFormat="false" ht="408.75" hidden="false" customHeight="true" outlineLevel="0" collapsed="false">
      <c r="A12" s="6" t="s">
        <v>70</v>
      </c>
      <c r="B12" s="7" t="s">
        <v>44</v>
      </c>
      <c r="C12" s="7" t="s">
        <v>71</v>
      </c>
      <c r="D12" s="8" t="s">
        <v>69</v>
      </c>
      <c r="E12" s="9" t="n">
        <v>3</v>
      </c>
      <c r="F12" s="9" t="n">
        <v>3</v>
      </c>
      <c r="G12" s="9" t="n">
        <v>3</v>
      </c>
      <c r="H12" s="9" t="n">
        <v>3</v>
      </c>
      <c r="I12" s="9" t="n">
        <v>3</v>
      </c>
      <c r="J12" s="10" t="str">
        <f aca="false">IF(COUNT(E12:I12)&lt;5,"",IF(OR(E12=1,F12=1,G12=1,H12=1),"重写",IF(COUNTIF(E12:I12,3)=5,"直接用","小改")))</f>
        <v>直接用</v>
      </c>
      <c r="K12" s="13"/>
    </row>
    <row r="13" customFormat="false" ht="408.75" hidden="false" customHeight="true" outlineLevel="0" collapsed="false">
      <c r="A13" s="6" t="s">
        <v>72</v>
      </c>
      <c r="B13" s="7" t="s">
        <v>47</v>
      </c>
      <c r="C13" s="7" t="s">
        <v>73</v>
      </c>
      <c r="D13" s="8" t="s">
        <v>69</v>
      </c>
      <c r="E13" s="9" t="n">
        <v>3</v>
      </c>
      <c r="F13" s="9" t="n">
        <v>3</v>
      </c>
      <c r="G13" s="9" t="n">
        <v>3</v>
      </c>
      <c r="H13" s="9" t="n">
        <v>3</v>
      </c>
      <c r="I13" s="9" t="n">
        <v>3</v>
      </c>
      <c r="J13" s="10" t="str">
        <f aca="false">IF(COUNT(E13:I13)&lt;5,"",IF(OR(E13=1,F13=1,G13=1,H13=1),"重写",IF(COUNTIF(E13:I13,3)=5,"直接用","小改")))</f>
        <v>直接用</v>
      </c>
      <c r="K13" s="13"/>
    </row>
    <row r="14" customFormat="false" ht="408.75" hidden="false" customHeight="true" outlineLevel="0" collapsed="false">
      <c r="A14" s="6" t="s">
        <v>74</v>
      </c>
      <c r="B14" s="7" t="s">
        <v>39</v>
      </c>
      <c r="C14" s="7" t="s">
        <v>75</v>
      </c>
      <c r="D14" s="8" t="s">
        <v>76</v>
      </c>
      <c r="E14" s="9" t="n">
        <v>3</v>
      </c>
      <c r="F14" s="9" t="n">
        <v>3</v>
      </c>
      <c r="G14" s="9" t="n">
        <v>3</v>
      </c>
      <c r="H14" s="9" t="n">
        <v>3</v>
      </c>
      <c r="I14" s="9" t="n">
        <v>3</v>
      </c>
      <c r="J14" s="10" t="str">
        <f aca="false">IF(COUNT(E14:I14)&lt;5,"",IF(OR(E14=1,F14=1,G14=1,H14=1),"重写",IF(COUNTIF(E14:I14,3)=5,"直接用","小改")))</f>
        <v>直接用</v>
      </c>
      <c r="K14" s="13"/>
    </row>
    <row r="15" customFormat="false" ht="408.75" hidden="false" customHeight="true" outlineLevel="0" collapsed="false">
      <c r="A15" s="6" t="s">
        <v>77</v>
      </c>
      <c r="B15" s="7" t="s">
        <v>44</v>
      </c>
      <c r="C15" s="7" t="s">
        <v>78</v>
      </c>
      <c r="D15" s="8" t="s">
        <v>76</v>
      </c>
      <c r="E15" s="9" t="n">
        <v>3</v>
      </c>
      <c r="F15" s="9" t="n">
        <v>3</v>
      </c>
      <c r="G15" s="9" t="n">
        <v>3</v>
      </c>
      <c r="H15" s="9" t="n">
        <v>3</v>
      </c>
      <c r="I15" s="9" t="n">
        <v>3</v>
      </c>
      <c r="J15" s="10" t="str">
        <f aca="false">IF(COUNT(E15:I15)&lt;5,"",IF(OR(E15=1,F15=1,G15=1,H15=1),"重写",IF(COUNTIF(E15:I15,3)=5,"直接用","小改")))</f>
        <v>直接用</v>
      </c>
      <c r="K15" s="13"/>
    </row>
    <row r="16" customFormat="false" ht="408.75" hidden="false" customHeight="true" outlineLevel="0" collapsed="false">
      <c r="A16" s="6" t="s">
        <v>79</v>
      </c>
      <c r="B16" s="7" t="s">
        <v>47</v>
      </c>
      <c r="C16" s="7" t="s">
        <v>80</v>
      </c>
      <c r="D16" s="8" t="s">
        <v>76</v>
      </c>
      <c r="E16" s="9" t="n">
        <v>3</v>
      </c>
      <c r="F16" s="9" t="n">
        <v>3</v>
      </c>
      <c r="G16" s="9" t="n">
        <v>3</v>
      </c>
      <c r="H16" s="9" t="n">
        <v>3</v>
      </c>
      <c r="I16" s="9" t="n">
        <v>2</v>
      </c>
      <c r="J16" s="10" t="str">
        <f aca="false">IF(COUNT(E16:I16)&lt;5,"",IF(OR(E16=1,F16=1,G16=1,H16=1),"重写",IF(COUNTIF(E16:I16,3)=5,"直接用","小改")))</f>
        <v>小改</v>
      </c>
      <c r="K16" s="11" t="s">
        <v>81</v>
      </c>
    </row>
    <row r="18" customFormat="false" ht="45" hidden="false" customHeight="true" outlineLevel="0" collapsed="false">
      <c r="A18" s="14" t="s">
        <v>82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</sheetData>
  <mergeCells count="1">
    <mergeCell ref="A18:K18"/>
  </mergeCells>
  <conditionalFormatting sqref="J2:J16">
    <cfRule type="cellIs" priority="2" operator="equal" aboveAverage="0" equalAverage="0" bottom="0" percent="0" rank="0" text="" dxfId="0">
      <formula>"直接用"</formula>
    </cfRule>
    <cfRule type="cellIs" priority="3" operator="equal" aboveAverage="0" equalAverage="0" bottom="0" percent="0" rank="0" text="" dxfId="1">
      <formula>"小改"</formula>
    </cfRule>
    <cfRule type="cellIs" priority="4" operator="equal" aboveAverage="0" equalAverage="0" bottom="0" percent="0" rank="0" text="" dxfId="2">
      <formula>"重写"</formula>
    </cfRule>
  </conditionalFormatting>
  <dataValidations count="1">
    <dataValidation allowBlank="true" errorStyle="stop" operator="between" showDropDown="false" showErrorMessage="false" showInputMessage="false" sqref="E2:I16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8"/>
    <col collapsed="false" customWidth="true" hidden="false" outlineLevel="0" max="7" min="7" style="0" width="56"/>
  </cols>
  <sheetData>
    <row r="1" customFormat="false" ht="15" hidden="false" customHeight="false" outlineLevel="0" collapsed="false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</row>
    <row r="2" customFormat="false" ht="150" hidden="false" customHeight="true" outlineLevel="0" collapsed="false">
      <c r="A2" s="6" t="s">
        <v>90</v>
      </c>
      <c r="B2" s="14" t="s">
        <v>91</v>
      </c>
      <c r="C2" s="7" t="s">
        <v>92</v>
      </c>
      <c r="D2" s="7" t="s">
        <v>93</v>
      </c>
      <c r="E2" s="15" t="s">
        <v>94</v>
      </c>
      <c r="F2" s="7" t="s">
        <v>95</v>
      </c>
      <c r="G2" s="7" t="s">
        <v>96</v>
      </c>
    </row>
    <row r="3" customFormat="false" ht="150" hidden="false" customHeight="true" outlineLevel="0" collapsed="false">
      <c r="A3" s="6" t="s">
        <v>97</v>
      </c>
      <c r="B3" s="14" t="s">
        <v>98</v>
      </c>
      <c r="C3" s="7" t="s">
        <v>99</v>
      </c>
      <c r="D3" s="7" t="s">
        <v>100</v>
      </c>
      <c r="E3" s="15" t="s">
        <v>101</v>
      </c>
      <c r="F3" s="7" t="s">
        <v>102</v>
      </c>
      <c r="G3" s="7" t="s">
        <v>103</v>
      </c>
    </row>
    <row r="4" customFormat="false" ht="150" hidden="false" customHeight="true" outlineLevel="0" collapsed="false">
      <c r="A4" s="6" t="s">
        <v>104</v>
      </c>
      <c r="B4" s="14" t="s">
        <v>105</v>
      </c>
      <c r="C4" s="7" t="s">
        <v>106</v>
      </c>
      <c r="D4" s="7" t="s">
        <v>107</v>
      </c>
      <c r="E4" s="15" t="s">
        <v>108</v>
      </c>
      <c r="F4" s="7" t="s">
        <v>109</v>
      </c>
      <c r="G4" s="7" t="s">
        <v>110</v>
      </c>
    </row>
    <row r="5" customFormat="false" ht="150" hidden="false" customHeight="true" outlineLevel="0" collapsed="false">
      <c r="A5" s="6" t="s">
        <v>111</v>
      </c>
      <c r="B5" s="14" t="s">
        <v>112</v>
      </c>
      <c r="C5" s="7" t="s">
        <v>99</v>
      </c>
      <c r="D5" s="7" t="s">
        <v>100</v>
      </c>
      <c r="E5" s="15" t="s">
        <v>113</v>
      </c>
      <c r="F5" s="7" t="s">
        <v>114</v>
      </c>
      <c r="G5" s="7" t="s">
        <v>115</v>
      </c>
    </row>
    <row r="6" customFormat="false" ht="150" hidden="false" customHeight="true" outlineLevel="0" collapsed="false">
      <c r="A6" s="6" t="s">
        <v>116</v>
      </c>
      <c r="B6" s="14" t="s">
        <v>117</v>
      </c>
      <c r="C6" s="7" t="s">
        <v>99</v>
      </c>
      <c r="D6" s="7" t="s">
        <v>100</v>
      </c>
      <c r="E6" s="15" t="s">
        <v>118</v>
      </c>
      <c r="F6" s="7" t="s">
        <v>119</v>
      </c>
      <c r="G6" s="7" t="s">
        <v>120</v>
      </c>
    </row>
    <row r="8" customFormat="false" ht="34.5" hidden="false" customHeight="true" outlineLevel="0" collapsed="false">
      <c r="A8" s="14" t="s">
        <v>121</v>
      </c>
      <c r="B8" s="14"/>
      <c r="C8" s="14"/>
      <c r="D8" s="14"/>
      <c r="E8" s="14"/>
      <c r="F8" s="14"/>
      <c r="G8" s="14"/>
    </row>
  </sheetData>
  <mergeCells count="1"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40"/>
  </cols>
  <sheetData>
    <row r="1" customFormat="false" ht="15" hidden="false" customHeight="false" outlineLevel="0" collapsed="false">
      <c r="A1" s="16" t="s">
        <v>122</v>
      </c>
    </row>
    <row r="3" customFormat="false" ht="15" hidden="false" customHeight="false" outlineLevel="0" collapsed="false">
      <c r="A3" s="5" t="s">
        <v>123</v>
      </c>
      <c r="B3" s="17" t="s">
        <v>124</v>
      </c>
      <c r="C3" s="17" t="s">
        <v>125</v>
      </c>
      <c r="D3" s="17" t="s">
        <v>126</v>
      </c>
    </row>
    <row r="4" customFormat="false" ht="60" hidden="false" customHeight="true" outlineLevel="0" collapsed="false">
      <c r="A4" s="14" t="s">
        <v>31</v>
      </c>
      <c r="B4" s="7" t="s">
        <v>127</v>
      </c>
      <c r="C4" s="7" t="s">
        <v>128</v>
      </c>
      <c r="D4" s="7" t="s">
        <v>129</v>
      </c>
    </row>
    <row r="5" customFormat="false" ht="60" hidden="false" customHeight="true" outlineLevel="0" collapsed="false">
      <c r="A5" s="14" t="s">
        <v>32</v>
      </c>
      <c r="B5" s="7" t="s">
        <v>130</v>
      </c>
      <c r="C5" s="7" t="s">
        <v>131</v>
      </c>
      <c r="D5" s="7" t="s">
        <v>132</v>
      </c>
    </row>
    <row r="6" customFormat="false" ht="60" hidden="false" customHeight="true" outlineLevel="0" collapsed="false">
      <c r="A6" s="14" t="s">
        <v>33</v>
      </c>
      <c r="B6" s="7" t="s">
        <v>133</v>
      </c>
      <c r="C6" s="7" t="s">
        <v>134</v>
      </c>
      <c r="D6" s="7" t="s">
        <v>135</v>
      </c>
    </row>
    <row r="7" customFormat="false" ht="60" hidden="false" customHeight="true" outlineLevel="0" collapsed="false">
      <c r="A7" s="14" t="s">
        <v>34</v>
      </c>
      <c r="B7" s="7" t="s">
        <v>136</v>
      </c>
      <c r="C7" s="7" t="s">
        <v>137</v>
      </c>
      <c r="D7" s="7" t="s">
        <v>138</v>
      </c>
    </row>
    <row r="8" customFormat="false" ht="60" hidden="false" customHeight="true" outlineLevel="0" collapsed="false">
      <c r="A8" s="14" t="s">
        <v>35</v>
      </c>
      <c r="B8" s="15" t="s">
        <v>139</v>
      </c>
      <c r="C8" s="7" t="s">
        <v>140</v>
      </c>
      <c r="D8" s="15" t="s">
        <v>141</v>
      </c>
    </row>
    <row r="10" customFormat="false" ht="15" hidden="false" customHeight="false" outlineLevel="0" collapsed="false">
      <c r="A10" s="18"/>
      <c r="B10" s="18"/>
      <c r="C10" s="18"/>
      <c r="D10" s="18"/>
    </row>
    <row r="11" customFormat="false" ht="15" hidden="false" customHeight="true" outlineLevel="0" collapsed="false">
      <c r="A11" s="19" t="s">
        <v>142</v>
      </c>
      <c r="B11" s="19"/>
      <c r="C11" s="19"/>
      <c r="D11" s="19"/>
    </row>
    <row r="12" customFormat="false" ht="15" hidden="false" customHeight="true" outlineLevel="0" collapsed="false">
      <c r="A12" s="20" t="s">
        <v>143</v>
      </c>
      <c r="B12" s="20"/>
      <c r="C12" s="20"/>
      <c r="D12" s="20"/>
    </row>
    <row r="13" customFormat="false" ht="15" hidden="false" customHeight="true" outlineLevel="0" collapsed="false">
      <c r="A13" s="20" t="s">
        <v>144</v>
      </c>
      <c r="B13" s="20"/>
      <c r="C13" s="20"/>
      <c r="D13" s="20"/>
    </row>
    <row r="14" customFormat="false" ht="15" hidden="false" customHeight="true" outlineLevel="0" collapsed="false">
      <c r="A14" s="20" t="s">
        <v>145</v>
      </c>
      <c r="B14" s="20"/>
      <c r="C14" s="20"/>
      <c r="D14" s="20"/>
    </row>
    <row r="15" customFormat="false" ht="15" hidden="false" customHeight="false" outlineLevel="0" collapsed="false">
      <c r="A15" s="18"/>
      <c r="B15" s="18"/>
      <c r="C15" s="18"/>
      <c r="D15" s="18"/>
    </row>
    <row r="16" customFormat="false" ht="15" hidden="false" customHeight="true" outlineLevel="0" collapsed="false">
      <c r="A16" s="19" t="s">
        <v>146</v>
      </c>
      <c r="B16" s="19"/>
      <c r="C16" s="19"/>
      <c r="D16" s="19"/>
    </row>
    <row r="17" customFormat="false" ht="30" hidden="false" customHeight="true" outlineLevel="0" collapsed="false">
      <c r="A17" s="18" t="s">
        <v>147</v>
      </c>
      <c r="B17" s="18"/>
      <c r="C17" s="18"/>
      <c r="D17" s="18"/>
    </row>
    <row r="18" customFormat="false" ht="30" hidden="false" customHeight="true" outlineLevel="0" collapsed="false">
      <c r="A18" s="20" t="s">
        <v>148</v>
      </c>
      <c r="B18" s="20"/>
      <c r="C18" s="20"/>
      <c r="D18" s="20"/>
    </row>
    <row r="19" customFormat="false" ht="15" hidden="false" customHeight="true" outlineLevel="0" collapsed="false">
      <c r="A19" s="18" t="s">
        <v>149</v>
      </c>
      <c r="B19" s="18"/>
      <c r="C19" s="18"/>
      <c r="D19" s="18"/>
    </row>
    <row r="20" customFormat="false" ht="15" hidden="false" customHeight="true" outlineLevel="0" collapsed="false">
      <c r="A20" s="18" t="s">
        <v>150</v>
      </c>
      <c r="B20" s="18"/>
      <c r="C20" s="18"/>
      <c r="D20" s="18"/>
    </row>
    <row r="21" customFormat="false" ht="15" hidden="false" customHeight="true" outlineLevel="0" collapsed="false">
      <c r="A21" s="18" t="s">
        <v>151</v>
      </c>
      <c r="B21" s="18"/>
      <c r="C21" s="18"/>
      <c r="D21" s="18"/>
    </row>
    <row r="22" customFormat="false" ht="30" hidden="false" customHeight="true" outlineLevel="0" collapsed="false">
      <c r="A22" s="18" t="s">
        <v>152</v>
      </c>
      <c r="B22" s="18"/>
      <c r="C22" s="18"/>
      <c r="D22" s="18"/>
    </row>
    <row r="23" customFormat="false" ht="15" hidden="false" customHeight="false" outlineLevel="0" collapsed="false">
      <c r="A23" s="18"/>
      <c r="B23" s="18"/>
      <c r="C23" s="18"/>
      <c r="D23" s="18"/>
    </row>
    <row r="24" customFormat="false" ht="15" hidden="false" customHeight="true" outlineLevel="0" collapsed="false">
      <c r="A24" s="19" t="s">
        <v>153</v>
      </c>
      <c r="B24" s="19"/>
      <c r="C24" s="19"/>
      <c r="D24" s="19"/>
    </row>
    <row r="25" customFormat="false" ht="30" hidden="false" customHeight="true" outlineLevel="0" collapsed="false">
      <c r="A25" s="18" t="s">
        <v>154</v>
      </c>
      <c r="B25" s="18"/>
      <c r="C25" s="18"/>
      <c r="D25" s="18"/>
    </row>
  </sheetData>
  <mergeCells count="16"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40"/>
    <col collapsed="false" customWidth="true" hidden="false" outlineLevel="0" max="17" min="17" style="0" width="11"/>
    <col collapsed="false" customWidth="true" hidden="false" outlineLevel="0" max="18" min="18" style="0" width="36"/>
    <col collapsed="false" customWidth="true" hidden="false" outlineLevel="0" max="22" min="19" style="0" width="8"/>
  </cols>
  <sheetData>
    <row r="1" customFormat="false" ht="42" hidden="false" customHeight="true" outlineLevel="0" collapsed="false">
      <c r="A1" s="5" t="s">
        <v>27</v>
      </c>
      <c r="B1" s="5" t="s">
        <v>155</v>
      </c>
      <c r="C1" s="5" t="s">
        <v>85</v>
      </c>
      <c r="D1" s="5" t="s">
        <v>156</v>
      </c>
      <c r="E1" s="5" t="s">
        <v>157</v>
      </c>
      <c r="F1" s="5" t="s">
        <v>158</v>
      </c>
      <c r="G1" s="5" t="s">
        <v>159</v>
      </c>
      <c r="H1" s="5" t="s">
        <v>160</v>
      </c>
      <c r="I1" s="17" t="s">
        <v>161</v>
      </c>
      <c r="J1" s="17" t="s">
        <v>162</v>
      </c>
      <c r="K1" s="17" t="s">
        <v>163</v>
      </c>
      <c r="L1" s="17" t="s">
        <v>164</v>
      </c>
      <c r="M1" s="17" t="s">
        <v>165</v>
      </c>
      <c r="N1" s="17" t="s">
        <v>166</v>
      </c>
      <c r="O1" s="17" t="s">
        <v>167</v>
      </c>
      <c r="P1" s="17" t="s">
        <v>168</v>
      </c>
      <c r="Q1" s="17" t="s">
        <v>169</v>
      </c>
      <c r="R1" s="5" t="s">
        <v>170</v>
      </c>
      <c r="S1" s="17" t="s">
        <v>171</v>
      </c>
      <c r="T1" s="17" t="s">
        <v>172</v>
      </c>
      <c r="U1" s="17" t="s">
        <v>173</v>
      </c>
      <c r="V1" s="17" t="s">
        <v>174</v>
      </c>
    </row>
    <row r="2" customFormat="false" ht="27.75" hidden="false" customHeight="true" outlineLevel="0" collapsed="false">
      <c r="A2" s="15" t="s">
        <v>175</v>
      </c>
      <c r="B2" s="15" t="s">
        <v>176</v>
      </c>
      <c r="C2" s="7" t="s">
        <v>177</v>
      </c>
      <c r="D2" s="7" t="s">
        <v>178</v>
      </c>
      <c r="E2" s="7" t="s">
        <v>179</v>
      </c>
      <c r="F2" s="7" t="s">
        <v>180</v>
      </c>
      <c r="G2" s="7" t="s">
        <v>181</v>
      </c>
      <c r="H2" s="7" t="s">
        <v>182</v>
      </c>
      <c r="I2" s="15" t="n">
        <v>1</v>
      </c>
      <c r="J2" s="7" t="s">
        <v>183</v>
      </c>
      <c r="K2" s="7" t="s">
        <v>184</v>
      </c>
      <c r="L2" s="21" t="s">
        <v>185</v>
      </c>
      <c r="M2" s="15" t="n">
        <v>1</v>
      </c>
      <c r="N2" s="7" t="s">
        <v>183</v>
      </c>
      <c r="O2" s="15" t="n">
        <v>0</v>
      </c>
      <c r="P2" s="7" t="s">
        <v>186</v>
      </c>
      <c r="Q2" s="21" t="s">
        <v>185</v>
      </c>
      <c r="R2" s="15"/>
      <c r="S2" s="15" t="n">
        <f aca="false">IF(M2&gt;0,1,0)</f>
        <v>1</v>
      </c>
      <c r="T2" s="15" t="n">
        <f aca="false">IF(OR(M2&gt;0,N2="已修改"),1,0)</f>
        <v>1</v>
      </c>
      <c r="U2" s="15" t="n">
        <v>1542</v>
      </c>
      <c r="V2" s="15" t="n">
        <v>4.3</v>
      </c>
    </row>
    <row r="3" customFormat="false" ht="27.75" hidden="false" customHeight="true" outlineLevel="0" collapsed="false">
      <c r="A3" s="15" t="s">
        <v>187</v>
      </c>
      <c r="B3" s="15" t="s">
        <v>176</v>
      </c>
      <c r="C3" s="7" t="s">
        <v>177</v>
      </c>
      <c r="D3" s="7" t="s">
        <v>178</v>
      </c>
      <c r="E3" s="7" t="s">
        <v>188</v>
      </c>
      <c r="F3" s="7" t="s">
        <v>180</v>
      </c>
      <c r="G3" s="7" t="s">
        <v>189</v>
      </c>
      <c r="H3" s="7" t="s">
        <v>190</v>
      </c>
      <c r="I3" s="15" t="n">
        <v>2</v>
      </c>
      <c r="J3" s="7" t="s">
        <v>183</v>
      </c>
      <c r="K3" s="7" t="s">
        <v>191</v>
      </c>
      <c r="L3" s="21" t="s">
        <v>185</v>
      </c>
      <c r="M3" s="15" t="n">
        <v>2</v>
      </c>
      <c r="N3" s="7" t="s">
        <v>183</v>
      </c>
      <c r="O3" s="15" t="n">
        <v>0</v>
      </c>
      <c r="P3" s="7" t="s">
        <v>192</v>
      </c>
      <c r="Q3" s="21" t="s">
        <v>185</v>
      </c>
      <c r="R3" s="15"/>
      <c r="S3" s="15" t="n">
        <f aca="false">IF(M3&gt;0,1,0)</f>
        <v>1</v>
      </c>
      <c r="T3" s="15" t="n">
        <f aca="false">IF(OR(M3&gt;0,N3="已修改"),1,0)</f>
        <v>1</v>
      </c>
      <c r="U3" s="15" t="n">
        <v>1643</v>
      </c>
      <c r="V3" s="15" t="n">
        <v>4.8</v>
      </c>
    </row>
    <row r="4" customFormat="false" ht="27.75" hidden="false" customHeight="true" outlineLevel="0" collapsed="false">
      <c r="A4" s="15" t="s">
        <v>193</v>
      </c>
      <c r="B4" s="15" t="s">
        <v>176</v>
      </c>
      <c r="C4" s="7" t="s">
        <v>177</v>
      </c>
      <c r="D4" s="7" t="s">
        <v>178</v>
      </c>
      <c r="E4" s="7" t="s">
        <v>194</v>
      </c>
      <c r="F4" s="7" t="s">
        <v>180</v>
      </c>
      <c r="G4" s="7" t="s">
        <v>195</v>
      </c>
      <c r="H4" s="7" t="s">
        <v>196</v>
      </c>
      <c r="I4" s="15" t="n">
        <v>1</v>
      </c>
      <c r="J4" s="7" t="s">
        <v>183</v>
      </c>
      <c r="K4" s="7" t="s">
        <v>197</v>
      </c>
      <c r="L4" s="21" t="s">
        <v>185</v>
      </c>
      <c r="M4" s="15" t="n">
        <v>1</v>
      </c>
      <c r="N4" s="7" t="s">
        <v>183</v>
      </c>
      <c r="O4" s="15" t="n">
        <v>0</v>
      </c>
      <c r="P4" s="7" t="s">
        <v>198</v>
      </c>
      <c r="Q4" s="21" t="s">
        <v>185</v>
      </c>
      <c r="R4" s="15"/>
      <c r="S4" s="15" t="n">
        <f aca="false">IF(M4&gt;0,1,0)</f>
        <v>1</v>
      </c>
      <c r="T4" s="15" t="n">
        <f aca="false">IF(OR(M4&gt;0,N4="已修改"),1,0)</f>
        <v>1</v>
      </c>
      <c r="U4" s="15" t="n">
        <v>1858</v>
      </c>
      <c r="V4" s="15" t="n">
        <v>6.1</v>
      </c>
    </row>
    <row r="5" customFormat="false" ht="27.75" hidden="false" customHeight="true" outlineLevel="0" collapsed="false">
      <c r="A5" s="15" t="s">
        <v>199</v>
      </c>
      <c r="B5" s="15" t="s">
        <v>176</v>
      </c>
      <c r="C5" s="7" t="s">
        <v>177</v>
      </c>
      <c r="D5" s="7" t="s">
        <v>178</v>
      </c>
      <c r="E5" s="7" t="s">
        <v>200</v>
      </c>
      <c r="F5" s="7" t="s">
        <v>180</v>
      </c>
      <c r="G5" s="7" t="s">
        <v>201</v>
      </c>
      <c r="H5" s="7" t="s">
        <v>202</v>
      </c>
      <c r="I5" s="15" t="n">
        <v>2</v>
      </c>
      <c r="J5" s="7" t="s">
        <v>183</v>
      </c>
      <c r="K5" s="7" t="s">
        <v>203</v>
      </c>
      <c r="L5" s="21" t="s">
        <v>185</v>
      </c>
      <c r="M5" s="15" t="n">
        <v>2</v>
      </c>
      <c r="N5" s="7" t="s">
        <v>183</v>
      </c>
      <c r="O5" s="15" t="n">
        <v>0</v>
      </c>
      <c r="P5" s="15" t="s">
        <v>204</v>
      </c>
      <c r="Q5" s="21" t="s">
        <v>185</v>
      </c>
      <c r="R5" s="15" t="s">
        <v>205</v>
      </c>
      <c r="S5" s="15" t="n">
        <f aca="false">IF(M5&gt;0,1,0)</f>
        <v>1</v>
      </c>
      <c r="T5" s="15" t="n">
        <f aca="false">IF(OR(M5&gt;0,N5="已修改"),1,0)</f>
        <v>1</v>
      </c>
      <c r="U5" s="15" t="n">
        <v>1727</v>
      </c>
      <c r="V5" s="15" t="n">
        <v>5.7</v>
      </c>
    </row>
    <row r="6" customFormat="false" ht="27.75" hidden="false" customHeight="true" outlineLevel="0" collapsed="false">
      <c r="A6" s="15" t="s">
        <v>206</v>
      </c>
      <c r="B6" s="15" t="s">
        <v>176</v>
      </c>
      <c r="C6" s="7" t="s">
        <v>177</v>
      </c>
      <c r="D6" s="7" t="s">
        <v>178</v>
      </c>
      <c r="E6" s="7" t="s">
        <v>207</v>
      </c>
      <c r="F6" s="7" t="s">
        <v>180</v>
      </c>
      <c r="G6" s="7" t="s">
        <v>208</v>
      </c>
      <c r="H6" s="7" t="s">
        <v>209</v>
      </c>
      <c r="I6" s="15" t="n">
        <v>1</v>
      </c>
      <c r="J6" s="7" t="s">
        <v>183</v>
      </c>
      <c r="K6" s="7" t="s">
        <v>210</v>
      </c>
      <c r="L6" s="21" t="s">
        <v>185</v>
      </c>
      <c r="M6" s="15" t="n">
        <v>1</v>
      </c>
      <c r="N6" s="7" t="s">
        <v>183</v>
      </c>
      <c r="O6" s="15" t="n">
        <v>0</v>
      </c>
      <c r="P6" s="7" t="s">
        <v>211</v>
      </c>
      <c r="Q6" s="21" t="s">
        <v>185</v>
      </c>
      <c r="R6" s="15"/>
      <c r="S6" s="15" t="n">
        <f aca="false">IF(M6&gt;0,1,0)</f>
        <v>1</v>
      </c>
      <c r="T6" s="15" t="n">
        <f aca="false">IF(OR(M6&gt;0,N6="已修改"),1,0)</f>
        <v>1</v>
      </c>
      <c r="U6" s="15" t="n">
        <v>1854</v>
      </c>
      <c r="V6" s="15" t="n">
        <v>6</v>
      </c>
    </row>
    <row r="7" customFormat="false" ht="42" hidden="false" customHeight="true" outlineLevel="0" collapsed="false">
      <c r="A7" s="15" t="s">
        <v>212</v>
      </c>
      <c r="B7" s="15" t="s">
        <v>176</v>
      </c>
      <c r="C7" s="7" t="s">
        <v>177</v>
      </c>
      <c r="D7" s="7" t="s">
        <v>178</v>
      </c>
      <c r="E7" s="7" t="s">
        <v>188</v>
      </c>
      <c r="F7" s="7" t="s">
        <v>213</v>
      </c>
      <c r="G7" s="7" t="s">
        <v>214</v>
      </c>
      <c r="H7" s="7" t="s">
        <v>215</v>
      </c>
      <c r="I7" s="15" t="n">
        <v>0</v>
      </c>
      <c r="J7" s="7" t="s">
        <v>183</v>
      </c>
      <c r="K7" s="7" t="s">
        <v>216</v>
      </c>
      <c r="L7" s="21" t="s">
        <v>185</v>
      </c>
      <c r="M7" s="15" t="n">
        <v>0</v>
      </c>
      <c r="N7" s="7" t="s">
        <v>183</v>
      </c>
      <c r="O7" s="15" t="n">
        <v>0</v>
      </c>
      <c r="P7" s="7" t="s">
        <v>217</v>
      </c>
      <c r="Q7" s="21" t="s">
        <v>185</v>
      </c>
      <c r="R7" s="15"/>
      <c r="S7" s="15" t="n">
        <f aca="false">IF(M7&gt;0,1,0)</f>
        <v>0</v>
      </c>
      <c r="T7" s="15" t="n">
        <f aca="false">IF(OR(M7&gt;0,N7="已修改"),1,0)</f>
        <v>1</v>
      </c>
      <c r="U7" s="15" t="n">
        <v>1720</v>
      </c>
      <c r="V7" s="15" t="n">
        <v>6.1</v>
      </c>
    </row>
    <row r="8" customFormat="false" ht="27.75" hidden="false" customHeight="true" outlineLevel="0" collapsed="false">
      <c r="A8" s="15" t="s">
        <v>218</v>
      </c>
      <c r="B8" s="15" t="s">
        <v>176</v>
      </c>
      <c r="C8" s="7" t="s">
        <v>177</v>
      </c>
      <c r="D8" s="7" t="s">
        <v>178</v>
      </c>
      <c r="E8" s="7" t="s">
        <v>219</v>
      </c>
      <c r="F8" s="7" t="s">
        <v>213</v>
      </c>
      <c r="G8" s="7" t="s">
        <v>220</v>
      </c>
      <c r="H8" s="7" t="s">
        <v>221</v>
      </c>
      <c r="I8" s="15" t="n">
        <v>0</v>
      </c>
      <c r="J8" s="7" t="s">
        <v>183</v>
      </c>
      <c r="K8" s="7" t="s">
        <v>222</v>
      </c>
      <c r="L8" s="21" t="s">
        <v>185</v>
      </c>
      <c r="M8" s="15" t="n">
        <v>0</v>
      </c>
      <c r="N8" s="7" t="s">
        <v>183</v>
      </c>
      <c r="O8" s="15" t="n">
        <v>0</v>
      </c>
      <c r="P8" s="7" t="s">
        <v>223</v>
      </c>
      <c r="Q8" s="21" t="s">
        <v>185</v>
      </c>
      <c r="R8" s="15"/>
      <c r="S8" s="15" t="n">
        <f aca="false">IF(M8&gt;0,1,0)</f>
        <v>0</v>
      </c>
      <c r="T8" s="15" t="n">
        <f aca="false">IF(OR(M8&gt;0,N8="已修改"),1,0)</f>
        <v>1</v>
      </c>
      <c r="U8" s="15" t="n">
        <v>1605</v>
      </c>
      <c r="V8" s="15" t="n">
        <v>5</v>
      </c>
    </row>
    <row r="9" customFormat="false" ht="42" hidden="false" customHeight="true" outlineLevel="0" collapsed="false">
      <c r="A9" s="15" t="s">
        <v>224</v>
      </c>
      <c r="B9" s="15" t="s">
        <v>225</v>
      </c>
      <c r="C9" s="7" t="s">
        <v>177</v>
      </c>
      <c r="D9" s="7" t="s">
        <v>178</v>
      </c>
      <c r="E9" s="7" t="s">
        <v>188</v>
      </c>
      <c r="F9" s="7" t="s">
        <v>180</v>
      </c>
      <c r="G9" s="7" t="s">
        <v>226</v>
      </c>
      <c r="H9" s="7" t="s">
        <v>227</v>
      </c>
      <c r="I9" s="15" t="n">
        <v>2</v>
      </c>
      <c r="J9" s="7" t="s">
        <v>183</v>
      </c>
      <c r="K9" s="7" t="s">
        <v>228</v>
      </c>
      <c r="L9" s="21" t="s">
        <v>185</v>
      </c>
      <c r="M9" s="15" t="n">
        <v>2</v>
      </c>
      <c r="N9" s="7" t="s">
        <v>183</v>
      </c>
      <c r="O9" s="15" t="n">
        <v>0</v>
      </c>
      <c r="P9" s="7" t="s">
        <v>229</v>
      </c>
      <c r="Q9" s="21" t="s">
        <v>185</v>
      </c>
      <c r="R9" s="15"/>
      <c r="S9" s="15" t="n">
        <f aca="false">IF(M9&gt;0,1,0)</f>
        <v>1</v>
      </c>
      <c r="T9" s="15" t="n">
        <f aca="false">IF(OR(M9&gt;0,N9="已修改"),1,0)</f>
        <v>1</v>
      </c>
      <c r="U9" s="15" t="n">
        <v>1896</v>
      </c>
      <c r="V9" s="15" t="n">
        <v>6.9</v>
      </c>
    </row>
    <row r="10" customFormat="false" ht="27.75" hidden="false" customHeight="true" outlineLevel="0" collapsed="false">
      <c r="A10" s="15" t="s">
        <v>230</v>
      </c>
      <c r="B10" s="15" t="s">
        <v>225</v>
      </c>
      <c r="C10" s="7" t="s">
        <v>177</v>
      </c>
      <c r="D10" s="7" t="s">
        <v>178</v>
      </c>
      <c r="E10" s="7" t="s">
        <v>188</v>
      </c>
      <c r="F10" s="7" t="s">
        <v>231</v>
      </c>
      <c r="G10" s="7" t="s">
        <v>232</v>
      </c>
      <c r="H10" s="7" t="s">
        <v>233</v>
      </c>
      <c r="I10" s="15" t="n">
        <v>1</v>
      </c>
      <c r="J10" s="7" t="s">
        <v>183</v>
      </c>
      <c r="K10" s="7" t="s">
        <v>234</v>
      </c>
      <c r="L10" s="21" t="s">
        <v>185</v>
      </c>
      <c r="M10" s="15" t="n">
        <v>1</v>
      </c>
      <c r="N10" s="7" t="s">
        <v>183</v>
      </c>
      <c r="O10" s="15" t="n">
        <v>0</v>
      </c>
      <c r="P10" s="7" t="s">
        <v>235</v>
      </c>
      <c r="Q10" s="21" t="s">
        <v>185</v>
      </c>
      <c r="R10" s="15"/>
      <c r="S10" s="15" t="n">
        <f aca="false">IF(M10&gt;0,1,0)</f>
        <v>1</v>
      </c>
      <c r="T10" s="15" t="n">
        <f aca="false">IF(OR(M10&gt;0,N10="已修改"),1,0)</f>
        <v>1</v>
      </c>
      <c r="U10" s="15" t="n">
        <v>1621</v>
      </c>
      <c r="V10" s="15" t="n">
        <v>5.4</v>
      </c>
    </row>
    <row r="11" customFormat="false" ht="27.75" hidden="false" customHeight="true" outlineLevel="0" collapsed="false">
      <c r="A11" s="15" t="s">
        <v>236</v>
      </c>
      <c r="B11" s="15" t="s">
        <v>225</v>
      </c>
      <c r="C11" s="7" t="s">
        <v>177</v>
      </c>
      <c r="D11" s="7" t="s">
        <v>178</v>
      </c>
      <c r="E11" s="7" t="s">
        <v>188</v>
      </c>
      <c r="F11" s="7" t="s">
        <v>213</v>
      </c>
      <c r="G11" s="7" t="s">
        <v>237</v>
      </c>
      <c r="H11" s="7" t="s">
        <v>238</v>
      </c>
      <c r="I11" s="15" t="n">
        <v>0</v>
      </c>
      <c r="J11" s="7" t="s">
        <v>183</v>
      </c>
      <c r="K11" s="7" t="s">
        <v>239</v>
      </c>
      <c r="L11" s="21" t="s">
        <v>185</v>
      </c>
      <c r="M11" s="15" t="n">
        <v>0</v>
      </c>
      <c r="N11" s="7" t="s">
        <v>183</v>
      </c>
      <c r="O11" s="15" t="n">
        <v>0</v>
      </c>
      <c r="P11" s="7" t="s">
        <v>240</v>
      </c>
      <c r="Q11" s="21" t="s">
        <v>185</v>
      </c>
      <c r="R11" s="15"/>
      <c r="S11" s="15" t="n">
        <f aca="false">IF(M11&gt;0,1,0)</f>
        <v>0</v>
      </c>
      <c r="T11" s="15" t="n">
        <f aca="false">IF(OR(M11&gt;0,N11="已修改"),1,0)</f>
        <v>1</v>
      </c>
      <c r="U11" s="15" t="n">
        <v>1970</v>
      </c>
      <c r="V11" s="15" t="n">
        <v>9.1</v>
      </c>
    </row>
    <row r="12" customFormat="false" ht="42" hidden="false" customHeight="true" outlineLevel="0" collapsed="false">
      <c r="A12" s="15" t="s">
        <v>241</v>
      </c>
      <c r="B12" s="15" t="s">
        <v>225</v>
      </c>
      <c r="C12" s="7" t="s">
        <v>177</v>
      </c>
      <c r="D12" s="7" t="s">
        <v>178</v>
      </c>
      <c r="E12" s="7" t="s">
        <v>242</v>
      </c>
      <c r="F12" s="7" t="s">
        <v>180</v>
      </c>
      <c r="G12" s="7" t="s">
        <v>243</v>
      </c>
      <c r="H12" s="7" t="s">
        <v>244</v>
      </c>
      <c r="I12" s="15" t="n">
        <v>1</v>
      </c>
      <c r="J12" s="7" t="s">
        <v>183</v>
      </c>
      <c r="K12" s="7" t="s">
        <v>245</v>
      </c>
      <c r="L12" s="21" t="s">
        <v>185</v>
      </c>
      <c r="M12" s="15" t="n">
        <v>1</v>
      </c>
      <c r="N12" s="7" t="s">
        <v>183</v>
      </c>
      <c r="O12" s="15" t="n">
        <v>0</v>
      </c>
      <c r="P12" s="7" t="s">
        <v>246</v>
      </c>
      <c r="Q12" s="21" t="s">
        <v>185</v>
      </c>
      <c r="R12" s="15" t="s">
        <v>247</v>
      </c>
      <c r="S12" s="15" t="n">
        <f aca="false">IF(M12&gt;0,1,0)</f>
        <v>1</v>
      </c>
      <c r="T12" s="15" t="n">
        <f aca="false">IF(OR(M12&gt;0,N12="已修改"),1,0)</f>
        <v>1</v>
      </c>
      <c r="U12" s="15" t="n">
        <v>1433</v>
      </c>
      <c r="V12" s="15" t="n">
        <v>4.1</v>
      </c>
    </row>
    <row r="13" customFormat="false" ht="69.75" hidden="false" customHeight="true" outlineLevel="0" collapsed="false">
      <c r="A13" s="15" t="s">
        <v>248</v>
      </c>
      <c r="B13" s="15" t="s">
        <v>225</v>
      </c>
      <c r="C13" s="7" t="s">
        <v>177</v>
      </c>
      <c r="D13" s="7" t="s">
        <v>178</v>
      </c>
      <c r="E13" s="7" t="s">
        <v>249</v>
      </c>
      <c r="F13" s="7" t="s">
        <v>213</v>
      </c>
      <c r="G13" s="7" t="s">
        <v>250</v>
      </c>
      <c r="H13" s="7" t="s">
        <v>251</v>
      </c>
      <c r="I13" s="15" t="n">
        <v>0</v>
      </c>
      <c r="J13" s="7" t="s">
        <v>183</v>
      </c>
      <c r="K13" s="7" t="s">
        <v>252</v>
      </c>
      <c r="L13" s="21" t="s">
        <v>185</v>
      </c>
      <c r="M13" s="15" t="n">
        <v>0</v>
      </c>
      <c r="N13" s="7" t="s">
        <v>183</v>
      </c>
      <c r="O13" s="15" t="n">
        <v>0</v>
      </c>
      <c r="P13" s="7" t="s">
        <v>253</v>
      </c>
      <c r="Q13" s="21" t="s">
        <v>185</v>
      </c>
      <c r="R13" s="15" t="s">
        <v>254</v>
      </c>
      <c r="S13" s="15" t="n">
        <f aca="false">IF(M13&gt;0,1,0)</f>
        <v>0</v>
      </c>
      <c r="T13" s="15" t="n">
        <f aca="false">IF(OR(M13&gt;0,N13="已修改"),1,0)</f>
        <v>1</v>
      </c>
      <c r="U13" s="15" t="n">
        <v>1997</v>
      </c>
      <c r="V13" s="15" t="n">
        <v>7.7</v>
      </c>
    </row>
    <row r="14" customFormat="false" ht="27.75" hidden="false" customHeight="true" outlineLevel="0" collapsed="false">
      <c r="A14" s="15" t="s">
        <v>255</v>
      </c>
      <c r="B14" s="15" t="s">
        <v>225</v>
      </c>
      <c r="C14" s="7" t="s">
        <v>177</v>
      </c>
      <c r="D14" s="7" t="s">
        <v>178</v>
      </c>
      <c r="E14" s="7" t="s">
        <v>179</v>
      </c>
      <c r="F14" s="7" t="s">
        <v>180</v>
      </c>
      <c r="G14" s="15" t="s">
        <v>256</v>
      </c>
      <c r="H14" s="15" t="s">
        <v>257</v>
      </c>
      <c r="I14" s="15" t="n">
        <v>2</v>
      </c>
      <c r="J14" s="7" t="s">
        <v>183</v>
      </c>
      <c r="K14" s="7" t="s">
        <v>258</v>
      </c>
      <c r="L14" s="21" t="s">
        <v>185</v>
      </c>
      <c r="M14" s="15" t="n">
        <v>2</v>
      </c>
      <c r="N14" s="7" t="s">
        <v>183</v>
      </c>
      <c r="O14" s="15" t="n">
        <v>0</v>
      </c>
      <c r="P14" s="7" t="s">
        <v>259</v>
      </c>
      <c r="Q14" s="21" t="s">
        <v>185</v>
      </c>
      <c r="R14" s="15"/>
      <c r="S14" s="15" t="n">
        <f aca="false">IF(M14&gt;0,1,0)</f>
        <v>1</v>
      </c>
      <c r="T14" s="15" t="n">
        <f aca="false">IF(OR(M14&gt;0,N14="已修改"),1,0)</f>
        <v>1</v>
      </c>
      <c r="U14" s="15" t="n">
        <v>1451</v>
      </c>
      <c r="V14" s="15" t="n">
        <v>4.3</v>
      </c>
    </row>
    <row r="15" customFormat="false" ht="27.75" hidden="false" customHeight="true" outlineLevel="0" collapsed="false">
      <c r="A15" s="15" t="s">
        <v>260</v>
      </c>
      <c r="B15" s="15" t="s">
        <v>261</v>
      </c>
      <c r="C15" s="7" t="s">
        <v>177</v>
      </c>
      <c r="D15" s="7" t="s">
        <v>178</v>
      </c>
      <c r="E15" s="7" t="s">
        <v>188</v>
      </c>
      <c r="F15" s="7" t="s">
        <v>180</v>
      </c>
      <c r="G15" s="7" t="s">
        <v>262</v>
      </c>
      <c r="H15" s="7" t="s">
        <v>263</v>
      </c>
      <c r="I15" s="15" t="n">
        <v>2</v>
      </c>
      <c r="J15" s="7" t="s">
        <v>183</v>
      </c>
      <c r="K15" s="7" t="s">
        <v>264</v>
      </c>
      <c r="L15" s="21" t="s">
        <v>185</v>
      </c>
      <c r="M15" s="15" t="n">
        <v>2</v>
      </c>
      <c r="N15" s="7" t="s">
        <v>183</v>
      </c>
      <c r="O15" s="15" t="n">
        <v>0</v>
      </c>
      <c r="P15" s="7" t="s">
        <v>265</v>
      </c>
      <c r="Q15" s="21" t="s">
        <v>185</v>
      </c>
      <c r="R15" s="15"/>
      <c r="S15" s="15" t="n">
        <f aca="false">IF(M15&gt;0,1,0)</f>
        <v>1</v>
      </c>
      <c r="T15" s="15" t="n">
        <f aca="false">IF(OR(M15&gt;0,N15="已修改"),1,0)</f>
        <v>1</v>
      </c>
      <c r="U15" s="15" t="n">
        <v>1808</v>
      </c>
      <c r="V15" s="15" t="n">
        <v>6.1</v>
      </c>
    </row>
    <row r="16" customFormat="false" ht="42" hidden="false" customHeight="true" outlineLevel="0" collapsed="false">
      <c r="A16" s="15" t="s">
        <v>266</v>
      </c>
      <c r="B16" s="15" t="s">
        <v>261</v>
      </c>
      <c r="C16" s="7" t="s">
        <v>177</v>
      </c>
      <c r="D16" s="7" t="s">
        <v>178</v>
      </c>
      <c r="E16" s="7" t="s">
        <v>188</v>
      </c>
      <c r="F16" s="7" t="s">
        <v>213</v>
      </c>
      <c r="G16" s="15" t="s">
        <v>267</v>
      </c>
      <c r="H16" s="7" t="s">
        <v>268</v>
      </c>
      <c r="I16" s="15" t="n">
        <v>0</v>
      </c>
      <c r="J16" s="7" t="s">
        <v>183</v>
      </c>
      <c r="K16" s="15" t="s">
        <v>269</v>
      </c>
      <c r="L16" s="21" t="s">
        <v>185</v>
      </c>
      <c r="M16" s="15" t="n">
        <v>0</v>
      </c>
      <c r="N16" s="7" t="s">
        <v>183</v>
      </c>
      <c r="O16" s="15" t="n">
        <v>0</v>
      </c>
      <c r="P16" s="7" t="s">
        <v>270</v>
      </c>
      <c r="Q16" s="21" t="s">
        <v>185</v>
      </c>
      <c r="R16" s="15"/>
      <c r="S16" s="15" t="n">
        <f aca="false">IF(M16&gt;0,1,0)</f>
        <v>0</v>
      </c>
      <c r="T16" s="15" t="n">
        <f aca="false">IF(OR(M16&gt;0,N16="已修改"),1,0)</f>
        <v>1</v>
      </c>
      <c r="U16" s="15" t="n">
        <v>1792</v>
      </c>
      <c r="V16" s="15" t="n">
        <v>6.5</v>
      </c>
    </row>
    <row r="17" customFormat="false" ht="42" hidden="false" customHeight="true" outlineLevel="0" collapsed="false">
      <c r="A17" s="15" t="s">
        <v>271</v>
      </c>
      <c r="B17" s="15" t="s">
        <v>261</v>
      </c>
      <c r="C17" s="7" t="s">
        <v>177</v>
      </c>
      <c r="D17" s="7" t="s">
        <v>178</v>
      </c>
      <c r="E17" s="7" t="s">
        <v>272</v>
      </c>
      <c r="F17" s="7" t="s">
        <v>213</v>
      </c>
      <c r="G17" s="7" t="s">
        <v>273</v>
      </c>
      <c r="H17" s="7" t="s">
        <v>274</v>
      </c>
      <c r="I17" s="15" t="n">
        <v>0</v>
      </c>
      <c r="J17" s="7" t="s">
        <v>183</v>
      </c>
      <c r="K17" s="7" t="s">
        <v>275</v>
      </c>
      <c r="L17" s="21" t="s">
        <v>276</v>
      </c>
      <c r="M17" s="15" t="n">
        <v>0</v>
      </c>
      <c r="N17" s="7" t="s">
        <v>183</v>
      </c>
      <c r="O17" s="15" t="n">
        <v>0</v>
      </c>
      <c r="P17" s="7" t="s">
        <v>277</v>
      </c>
      <c r="Q17" s="21" t="s">
        <v>185</v>
      </c>
      <c r="R17" s="15" t="s">
        <v>278</v>
      </c>
      <c r="S17" s="15" t="n">
        <f aca="false">IF(M17&gt;0,1,0)</f>
        <v>0</v>
      </c>
      <c r="T17" s="15" t="n">
        <f aca="false">IF(OR(M17&gt;0,N17="已修改"),1,0)</f>
        <v>1</v>
      </c>
      <c r="U17" s="15" t="n">
        <v>1858</v>
      </c>
      <c r="V17" s="15" t="n">
        <v>7.4</v>
      </c>
    </row>
    <row r="18" customFormat="false" ht="27.75" hidden="false" customHeight="true" outlineLevel="0" collapsed="false">
      <c r="A18" s="15" t="s">
        <v>279</v>
      </c>
      <c r="B18" s="15" t="s">
        <v>261</v>
      </c>
      <c r="C18" s="7" t="s">
        <v>177</v>
      </c>
      <c r="D18" s="7" t="s">
        <v>178</v>
      </c>
      <c r="E18" s="7" t="s">
        <v>188</v>
      </c>
      <c r="F18" s="7" t="s">
        <v>180</v>
      </c>
      <c r="G18" s="7" t="s">
        <v>280</v>
      </c>
      <c r="H18" s="7" t="s">
        <v>281</v>
      </c>
      <c r="I18" s="15" t="n">
        <v>1</v>
      </c>
      <c r="J18" s="7" t="s">
        <v>183</v>
      </c>
      <c r="K18" s="7" t="s">
        <v>282</v>
      </c>
      <c r="L18" s="21" t="s">
        <v>185</v>
      </c>
      <c r="M18" s="15" t="n">
        <v>1</v>
      </c>
      <c r="N18" s="7" t="s">
        <v>183</v>
      </c>
      <c r="O18" s="15" t="n">
        <v>0</v>
      </c>
      <c r="P18" s="7" t="s">
        <v>283</v>
      </c>
      <c r="Q18" s="21" t="s">
        <v>185</v>
      </c>
      <c r="R18" s="15"/>
      <c r="S18" s="15" t="n">
        <f aca="false">IF(M18&gt;0,1,0)</f>
        <v>1</v>
      </c>
      <c r="T18" s="15" t="n">
        <f aca="false">IF(OR(M18&gt;0,N18="已修改"),1,0)</f>
        <v>1</v>
      </c>
      <c r="U18" s="15" t="n">
        <v>1660</v>
      </c>
      <c r="V18" s="15" t="n">
        <v>6.9</v>
      </c>
    </row>
    <row r="19" customFormat="false" ht="27.75" hidden="false" customHeight="true" outlineLevel="0" collapsed="false">
      <c r="A19" s="15" t="s">
        <v>284</v>
      </c>
      <c r="B19" s="15" t="s">
        <v>261</v>
      </c>
      <c r="C19" s="7" t="s">
        <v>177</v>
      </c>
      <c r="D19" s="7" t="s">
        <v>178</v>
      </c>
      <c r="E19" s="7" t="s">
        <v>242</v>
      </c>
      <c r="F19" s="7" t="s">
        <v>213</v>
      </c>
      <c r="G19" s="7" t="s">
        <v>285</v>
      </c>
      <c r="H19" s="7" t="s">
        <v>286</v>
      </c>
      <c r="I19" s="15" t="n">
        <v>0</v>
      </c>
      <c r="J19" s="7" t="s">
        <v>183</v>
      </c>
      <c r="K19" s="7" t="s">
        <v>287</v>
      </c>
      <c r="L19" s="21" t="s">
        <v>185</v>
      </c>
      <c r="M19" s="15" t="n">
        <v>0</v>
      </c>
      <c r="N19" s="7" t="s">
        <v>183</v>
      </c>
      <c r="O19" s="15" t="n">
        <v>0</v>
      </c>
      <c r="P19" s="7" t="s">
        <v>288</v>
      </c>
      <c r="Q19" s="21" t="s">
        <v>185</v>
      </c>
      <c r="R19" s="15"/>
      <c r="S19" s="15" t="n">
        <f aca="false">IF(M19&gt;0,1,0)</f>
        <v>0</v>
      </c>
      <c r="T19" s="15" t="n">
        <f aca="false">IF(OR(M19&gt;0,N19="已修改"),1,0)</f>
        <v>1</v>
      </c>
      <c r="U19" s="15" t="n">
        <v>1604</v>
      </c>
      <c r="V19" s="15" t="n">
        <v>5.3</v>
      </c>
    </row>
    <row r="20" customFormat="false" ht="27.75" hidden="false" customHeight="true" outlineLevel="0" collapsed="false">
      <c r="A20" s="15" t="s">
        <v>289</v>
      </c>
      <c r="B20" s="15" t="s">
        <v>290</v>
      </c>
      <c r="C20" s="7" t="s">
        <v>291</v>
      </c>
      <c r="D20" s="7" t="s">
        <v>178</v>
      </c>
      <c r="E20" s="7" t="s">
        <v>188</v>
      </c>
      <c r="F20" s="7" t="s">
        <v>180</v>
      </c>
      <c r="G20" s="7" t="s">
        <v>292</v>
      </c>
      <c r="H20" s="7" t="s">
        <v>190</v>
      </c>
      <c r="I20" s="15" t="n">
        <v>2</v>
      </c>
      <c r="J20" s="7" t="s">
        <v>183</v>
      </c>
      <c r="K20" s="7" t="s">
        <v>293</v>
      </c>
      <c r="L20" s="21" t="s">
        <v>185</v>
      </c>
      <c r="M20" s="15" t="n">
        <v>2</v>
      </c>
      <c r="N20" s="7" t="s">
        <v>183</v>
      </c>
      <c r="O20" s="15" t="n">
        <v>0</v>
      </c>
      <c r="P20" s="7" t="s">
        <v>293</v>
      </c>
      <c r="Q20" s="21" t="s">
        <v>185</v>
      </c>
      <c r="R20" s="15"/>
      <c r="S20" s="15" t="n">
        <f aca="false">IF(M20&gt;0,1,0)</f>
        <v>1</v>
      </c>
      <c r="T20" s="15" t="n">
        <f aca="false">IF(OR(M20&gt;0,N20="已修改"),1,0)</f>
        <v>1</v>
      </c>
      <c r="U20" s="15" t="n">
        <v>1699</v>
      </c>
      <c r="V20" s="15" t="n">
        <v>7</v>
      </c>
    </row>
    <row r="21" customFormat="false" ht="27.75" hidden="false" customHeight="true" outlineLevel="0" collapsed="false">
      <c r="A21" s="15" t="s">
        <v>294</v>
      </c>
      <c r="B21" s="15" t="s">
        <v>290</v>
      </c>
      <c r="C21" s="7" t="s">
        <v>291</v>
      </c>
      <c r="D21" s="7" t="s">
        <v>178</v>
      </c>
      <c r="E21" s="7" t="s">
        <v>188</v>
      </c>
      <c r="F21" s="7" t="s">
        <v>180</v>
      </c>
      <c r="G21" s="15" t="s">
        <v>295</v>
      </c>
      <c r="H21" s="7" t="s">
        <v>296</v>
      </c>
      <c r="I21" s="15" t="n">
        <v>1</v>
      </c>
      <c r="J21" s="7" t="s">
        <v>183</v>
      </c>
      <c r="K21" s="7" t="s">
        <v>297</v>
      </c>
      <c r="L21" s="21" t="s">
        <v>185</v>
      </c>
      <c r="M21" s="15" t="n">
        <v>1</v>
      </c>
      <c r="N21" s="7" t="s">
        <v>183</v>
      </c>
      <c r="O21" s="15" t="n">
        <v>0</v>
      </c>
      <c r="P21" s="7" t="s">
        <v>293</v>
      </c>
      <c r="Q21" s="21" t="s">
        <v>185</v>
      </c>
      <c r="R21" s="15"/>
      <c r="S21" s="15" t="n">
        <f aca="false">IF(M21&gt;0,1,0)</f>
        <v>1</v>
      </c>
      <c r="T21" s="15" t="n">
        <f aca="false">IF(OR(M21&gt;0,N21="已修改"),1,0)</f>
        <v>1</v>
      </c>
      <c r="U21" s="15" t="n">
        <v>1994</v>
      </c>
      <c r="V21" s="15" t="n">
        <v>6.6</v>
      </c>
    </row>
    <row r="22" customFormat="false" ht="27.75" hidden="false" customHeight="true" outlineLevel="0" collapsed="false">
      <c r="A22" s="15" t="s">
        <v>298</v>
      </c>
      <c r="B22" s="15" t="s">
        <v>290</v>
      </c>
      <c r="C22" s="7" t="s">
        <v>291</v>
      </c>
      <c r="D22" s="7" t="s">
        <v>178</v>
      </c>
      <c r="E22" s="7" t="s">
        <v>299</v>
      </c>
      <c r="F22" s="7" t="s">
        <v>180</v>
      </c>
      <c r="G22" s="7" t="s">
        <v>300</v>
      </c>
      <c r="H22" s="7" t="s">
        <v>301</v>
      </c>
      <c r="I22" s="15" t="n">
        <v>1</v>
      </c>
      <c r="J22" s="7" t="s">
        <v>183</v>
      </c>
      <c r="K22" s="7" t="s">
        <v>302</v>
      </c>
      <c r="L22" s="21" t="s">
        <v>185</v>
      </c>
      <c r="M22" s="15" t="n">
        <v>1</v>
      </c>
      <c r="N22" s="7" t="s">
        <v>183</v>
      </c>
      <c r="O22" s="15" t="n">
        <v>0</v>
      </c>
      <c r="P22" s="7" t="s">
        <v>302</v>
      </c>
      <c r="Q22" s="21" t="s">
        <v>185</v>
      </c>
      <c r="R22" s="7" t="s">
        <v>303</v>
      </c>
      <c r="S22" s="15" t="n">
        <f aca="false">IF(M22&gt;0,1,0)</f>
        <v>1</v>
      </c>
      <c r="T22" s="15" t="n">
        <f aca="false">IF(OR(M22&gt;0,N22="已修改"),1,0)</f>
        <v>1</v>
      </c>
      <c r="U22" s="15" t="n">
        <v>1413</v>
      </c>
      <c r="V22" s="15" t="n">
        <v>3.1</v>
      </c>
    </row>
    <row r="23" customFormat="false" ht="27.75" hidden="false" customHeight="true" outlineLevel="0" collapsed="false">
      <c r="A23" s="15" t="s">
        <v>304</v>
      </c>
      <c r="B23" s="15" t="s">
        <v>290</v>
      </c>
      <c r="C23" s="7" t="s">
        <v>291</v>
      </c>
      <c r="D23" s="7" t="s">
        <v>178</v>
      </c>
      <c r="E23" s="7" t="s">
        <v>188</v>
      </c>
      <c r="F23" s="7" t="s">
        <v>213</v>
      </c>
      <c r="G23" s="7" t="s">
        <v>305</v>
      </c>
      <c r="H23" s="7" t="s">
        <v>306</v>
      </c>
      <c r="I23" s="15" t="n">
        <v>0</v>
      </c>
      <c r="J23" s="7" t="s">
        <v>183</v>
      </c>
      <c r="K23" s="7" t="s">
        <v>307</v>
      </c>
      <c r="L23" s="21" t="s">
        <v>185</v>
      </c>
      <c r="M23" s="15" t="n">
        <v>0</v>
      </c>
      <c r="N23" s="7" t="s">
        <v>183</v>
      </c>
      <c r="O23" s="15" t="n">
        <v>0</v>
      </c>
      <c r="P23" s="7" t="s">
        <v>308</v>
      </c>
      <c r="Q23" s="21" t="s">
        <v>185</v>
      </c>
      <c r="R23" s="15"/>
      <c r="S23" s="15" t="n">
        <f aca="false">IF(M23&gt;0,1,0)</f>
        <v>0</v>
      </c>
      <c r="T23" s="15" t="n">
        <f aca="false">IF(OR(M23&gt;0,N23="已修改"),1,0)</f>
        <v>1</v>
      </c>
      <c r="U23" s="15" t="n">
        <v>1753</v>
      </c>
      <c r="V23" s="15" t="n">
        <v>6.2</v>
      </c>
    </row>
    <row r="24" customFormat="false" ht="27.75" hidden="false" customHeight="true" outlineLevel="0" collapsed="false">
      <c r="A24" s="15" t="s">
        <v>309</v>
      </c>
      <c r="B24" s="15" t="s">
        <v>290</v>
      </c>
      <c r="C24" s="7" t="s">
        <v>291</v>
      </c>
      <c r="D24" s="7" t="s">
        <v>178</v>
      </c>
      <c r="E24" s="7" t="s">
        <v>310</v>
      </c>
      <c r="F24" s="7" t="s">
        <v>213</v>
      </c>
      <c r="G24" s="7" t="s">
        <v>311</v>
      </c>
      <c r="H24" s="7" t="s">
        <v>312</v>
      </c>
      <c r="I24" s="15" t="n">
        <v>0</v>
      </c>
      <c r="J24" s="7" t="s">
        <v>183</v>
      </c>
      <c r="K24" s="7" t="s">
        <v>313</v>
      </c>
      <c r="L24" s="21" t="s">
        <v>185</v>
      </c>
      <c r="M24" s="15" t="n">
        <v>0</v>
      </c>
      <c r="N24" s="7" t="s">
        <v>183</v>
      </c>
      <c r="O24" s="15" t="n">
        <v>0</v>
      </c>
      <c r="P24" s="7" t="s">
        <v>314</v>
      </c>
      <c r="Q24" s="21" t="s">
        <v>185</v>
      </c>
      <c r="R24" s="15"/>
      <c r="S24" s="15" t="n">
        <f aca="false">IF(M24&gt;0,1,0)</f>
        <v>0</v>
      </c>
      <c r="T24" s="15" t="n">
        <f aca="false">IF(OR(M24&gt;0,N24="已修改"),1,0)</f>
        <v>1</v>
      </c>
      <c r="U24" s="15" t="n">
        <v>2092</v>
      </c>
      <c r="V24" s="15" t="n">
        <v>8.2</v>
      </c>
    </row>
    <row r="25" customFormat="false" ht="27.75" hidden="false" customHeight="true" outlineLevel="0" collapsed="false">
      <c r="A25" s="15" t="s">
        <v>315</v>
      </c>
      <c r="B25" s="15" t="s">
        <v>316</v>
      </c>
      <c r="C25" s="7" t="s">
        <v>291</v>
      </c>
      <c r="D25" s="7" t="s">
        <v>178</v>
      </c>
      <c r="E25" s="7" t="s">
        <v>242</v>
      </c>
      <c r="F25" s="7" t="s">
        <v>180</v>
      </c>
      <c r="G25" s="7" t="s">
        <v>317</v>
      </c>
      <c r="H25" s="7" t="s">
        <v>318</v>
      </c>
      <c r="I25" s="15" t="n">
        <v>2</v>
      </c>
      <c r="J25" s="7" t="s">
        <v>183</v>
      </c>
      <c r="K25" s="7" t="s">
        <v>319</v>
      </c>
      <c r="L25" s="21" t="s">
        <v>185</v>
      </c>
      <c r="M25" s="15" t="n">
        <v>2</v>
      </c>
      <c r="N25" s="7" t="s">
        <v>183</v>
      </c>
      <c r="O25" s="15" t="n">
        <v>0</v>
      </c>
      <c r="P25" s="7" t="s">
        <v>320</v>
      </c>
      <c r="Q25" s="21" t="s">
        <v>185</v>
      </c>
      <c r="R25" s="15"/>
      <c r="S25" s="15" t="n">
        <f aca="false">IF(M25&gt;0,1,0)</f>
        <v>1</v>
      </c>
      <c r="T25" s="15" t="n">
        <f aca="false">IF(OR(M25&gt;0,N25="已修改"),1,0)</f>
        <v>1</v>
      </c>
      <c r="U25" s="15" t="n">
        <v>1587</v>
      </c>
      <c r="V25" s="15" t="n">
        <v>4.6</v>
      </c>
    </row>
    <row r="26" customFormat="false" ht="27.75" hidden="false" customHeight="true" outlineLevel="0" collapsed="false">
      <c r="A26" s="15" t="s">
        <v>321</v>
      </c>
      <c r="B26" s="15" t="s">
        <v>316</v>
      </c>
      <c r="C26" s="7" t="s">
        <v>291</v>
      </c>
      <c r="D26" s="7" t="s">
        <v>178</v>
      </c>
      <c r="E26" s="7" t="s">
        <v>188</v>
      </c>
      <c r="F26" s="7" t="s">
        <v>180</v>
      </c>
      <c r="G26" s="7" t="s">
        <v>322</v>
      </c>
      <c r="H26" s="7" t="s">
        <v>323</v>
      </c>
      <c r="I26" s="15" t="n">
        <v>2</v>
      </c>
      <c r="J26" s="7" t="s">
        <v>183</v>
      </c>
      <c r="K26" s="7" t="s">
        <v>324</v>
      </c>
      <c r="L26" s="21" t="s">
        <v>325</v>
      </c>
      <c r="M26" s="15" t="n">
        <v>2</v>
      </c>
      <c r="N26" s="7" t="s">
        <v>183</v>
      </c>
      <c r="O26" s="15" t="n">
        <v>0</v>
      </c>
      <c r="P26" s="7" t="s">
        <v>326</v>
      </c>
      <c r="Q26" s="21" t="s">
        <v>185</v>
      </c>
      <c r="R26" s="15" t="s">
        <v>327</v>
      </c>
      <c r="S26" s="15" t="n">
        <f aca="false">IF(M26&gt;0,1,0)</f>
        <v>1</v>
      </c>
      <c r="T26" s="15" t="n">
        <f aca="false">IF(OR(M26&gt;0,N26="已修改"),1,0)</f>
        <v>1</v>
      </c>
      <c r="U26" s="15" t="n">
        <v>1797</v>
      </c>
      <c r="V26" s="15" t="n">
        <v>6.1</v>
      </c>
    </row>
    <row r="27" customFormat="false" ht="27.75" hidden="false" customHeight="true" outlineLevel="0" collapsed="false">
      <c r="A27" s="15" t="s">
        <v>328</v>
      </c>
      <c r="B27" s="15" t="s">
        <v>316</v>
      </c>
      <c r="C27" s="7" t="s">
        <v>291</v>
      </c>
      <c r="D27" s="7" t="s">
        <v>178</v>
      </c>
      <c r="E27" s="7" t="s">
        <v>188</v>
      </c>
      <c r="F27" s="7" t="s">
        <v>213</v>
      </c>
      <c r="G27" s="7" t="s">
        <v>329</v>
      </c>
      <c r="H27" s="7" t="s">
        <v>330</v>
      </c>
      <c r="I27" s="15" t="n">
        <v>0</v>
      </c>
      <c r="J27" s="7" t="s">
        <v>183</v>
      </c>
      <c r="K27" s="7" t="s">
        <v>331</v>
      </c>
      <c r="L27" s="21" t="s">
        <v>185</v>
      </c>
      <c r="M27" s="15" t="n">
        <v>0</v>
      </c>
      <c r="N27" s="7" t="s">
        <v>183</v>
      </c>
      <c r="O27" s="15" t="n">
        <v>0</v>
      </c>
      <c r="P27" s="7" t="s">
        <v>332</v>
      </c>
      <c r="Q27" s="21" t="s">
        <v>185</v>
      </c>
      <c r="R27" s="15"/>
      <c r="S27" s="15" t="n">
        <f aca="false">IF(M27&gt;0,1,0)</f>
        <v>0</v>
      </c>
      <c r="T27" s="15" t="n">
        <f aca="false">IF(OR(M27&gt;0,N27="已修改"),1,0)</f>
        <v>1</v>
      </c>
      <c r="U27" s="15" t="n">
        <v>1576</v>
      </c>
      <c r="V27" s="15" t="n">
        <v>5.3</v>
      </c>
    </row>
    <row r="28" customFormat="false" ht="27.75" hidden="false" customHeight="true" outlineLevel="0" collapsed="false">
      <c r="A28" s="15" t="s">
        <v>333</v>
      </c>
      <c r="B28" s="15" t="s">
        <v>316</v>
      </c>
      <c r="C28" s="7" t="s">
        <v>291</v>
      </c>
      <c r="D28" s="7" t="s">
        <v>178</v>
      </c>
      <c r="E28" s="7" t="s">
        <v>334</v>
      </c>
      <c r="F28" s="7" t="s">
        <v>213</v>
      </c>
      <c r="G28" s="7" t="s">
        <v>335</v>
      </c>
      <c r="H28" s="7" t="s">
        <v>336</v>
      </c>
      <c r="I28" s="15" t="n">
        <v>0</v>
      </c>
      <c r="J28" s="7" t="s">
        <v>183</v>
      </c>
      <c r="K28" s="7" t="s">
        <v>337</v>
      </c>
      <c r="L28" s="21" t="s">
        <v>325</v>
      </c>
      <c r="M28" s="15" t="n">
        <v>0</v>
      </c>
      <c r="N28" s="7" t="s">
        <v>183</v>
      </c>
      <c r="O28" s="15" t="n">
        <v>0</v>
      </c>
      <c r="P28" s="7" t="s">
        <v>338</v>
      </c>
      <c r="Q28" s="21" t="s">
        <v>185</v>
      </c>
      <c r="R28" s="15" t="s">
        <v>339</v>
      </c>
      <c r="S28" s="15" t="n">
        <f aca="false">IF(M28&gt;0,1,0)</f>
        <v>0</v>
      </c>
      <c r="T28" s="15" t="n">
        <f aca="false">IF(OR(M28&gt;0,N28="已修改"),1,0)</f>
        <v>1</v>
      </c>
      <c r="U28" s="15" t="n">
        <v>1579</v>
      </c>
      <c r="V28" s="15" t="n">
        <v>4.9</v>
      </c>
    </row>
    <row r="29" customFormat="false" ht="27.75" hidden="false" customHeight="true" outlineLevel="0" collapsed="false">
      <c r="A29" s="15" t="s">
        <v>340</v>
      </c>
      <c r="B29" s="15" t="s">
        <v>316</v>
      </c>
      <c r="C29" s="7" t="s">
        <v>291</v>
      </c>
      <c r="D29" s="7" t="s">
        <v>178</v>
      </c>
      <c r="E29" s="7" t="s">
        <v>341</v>
      </c>
      <c r="F29" s="7" t="s">
        <v>213</v>
      </c>
      <c r="G29" s="7" t="s">
        <v>342</v>
      </c>
      <c r="H29" s="7" t="s">
        <v>343</v>
      </c>
      <c r="I29" s="15" t="n">
        <v>0</v>
      </c>
      <c r="J29" s="7" t="s">
        <v>183</v>
      </c>
      <c r="K29" s="7" t="s">
        <v>344</v>
      </c>
      <c r="L29" s="21" t="s">
        <v>185</v>
      </c>
      <c r="M29" s="15" t="n">
        <v>0</v>
      </c>
      <c r="N29" s="7" t="s">
        <v>183</v>
      </c>
      <c r="O29" s="15" t="n">
        <v>0</v>
      </c>
      <c r="P29" s="7" t="s">
        <v>344</v>
      </c>
      <c r="Q29" s="21" t="s">
        <v>185</v>
      </c>
      <c r="R29" s="15"/>
      <c r="S29" s="15" t="n">
        <f aca="false">IF(M29&gt;0,1,0)</f>
        <v>0</v>
      </c>
      <c r="T29" s="15" t="n">
        <f aca="false">IF(OR(M29&gt;0,N29="已修改"),1,0)</f>
        <v>1</v>
      </c>
      <c r="U29" s="15" t="n">
        <v>1664</v>
      </c>
      <c r="V29" s="15" t="n">
        <v>5.9</v>
      </c>
    </row>
    <row r="30" customFormat="false" ht="27.75" hidden="false" customHeight="true" outlineLevel="0" collapsed="false">
      <c r="A30" s="15" t="s">
        <v>345</v>
      </c>
      <c r="B30" s="15" t="s">
        <v>316</v>
      </c>
      <c r="C30" s="7" t="s">
        <v>291</v>
      </c>
      <c r="D30" s="7" t="s">
        <v>178</v>
      </c>
      <c r="E30" s="7" t="s">
        <v>179</v>
      </c>
      <c r="F30" s="7" t="s">
        <v>180</v>
      </c>
      <c r="G30" s="7" t="s">
        <v>346</v>
      </c>
      <c r="H30" s="7" t="s">
        <v>347</v>
      </c>
      <c r="I30" s="15" t="n">
        <v>2</v>
      </c>
      <c r="J30" s="7" t="s">
        <v>183</v>
      </c>
      <c r="K30" s="7" t="s">
        <v>348</v>
      </c>
      <c r="L30" s="21" t="s">
        <v>185</v>
      </c>
      <c r="M30" s="15" t="n">
        <v>2</v>
      </c>
      <c r="N30" s="7" t="s">
        <v>183</v>
      </c>
      <c r="O30" s="15" t="n">
        <v>0</v>
      </c>
      <c r="P30" s="7" t="s">
        <v>320</v>
      </c>
      <c r="Q30" s="21" t="s">
        <v>185</v>
      </c>
      <c r="R30" s="15"/>
      <c r="S30" s="15" t="n">
        <f aca="false">IF(M30&gt;0,1,0)</f>
        <v>1</v>
      </c>
      <c r="T30" s="15" t="n">
        <f aca="false">IF(OR(M30&gt;0,N30="已修改"),1,0)</f>
        <v>1</v>
      </c>
      <c r="U30" s="15" t="n">
        <v>1875</v>
      </c>
      <c r="V30" s="15" t="n">
        <v>7.7</v>
      </c>
    </row>
    <row r="31" customFormat="false" ht="27.75" hidden="false" customHeight="true" outlineLevel="0" collapsed="false">
      <c r="A31" s="15" t="s">
        <v>349</v>
      </c>
      <c r="B31" s="15" t="s">
        <v>316</v>
      </c>
      <c r="C31" s="7" t="s">
        <v>291</v>
      </c>
      <c r="D31" s="7" t="s">
        <v>178</v>
      </c>
      <c r="E31" s="7" t="s">
        <v>194</v>
      </c>
      <c r="F31" s="7" t="s">
        <v>213</v>
      </c>
      <c r="G31" s="7" t="s">
        <v>350</v>
      </c>
      <c r="H31" s="7" t="s">
        <v>351</v>
      </c>
      <c r="I31" s="15" t="n">
        <v>0</v>
      </c>
      <c r="J31" s="7" t="s">
        <v>183</v>
      </c>
      <c r="K31" s="7" t="s">
        <v>352</v>
      </c>
      <c r="L31" s="21" t="s">
        <v>185</v>
      </c>
      <c r="M31" s="15" t="n">
        <v>0</v>
      </c>
      <c r="N31" s="7" t="s">
        <v>183</v>
      </c>
      <c r="O31" s="15" t="n">
        <v>0</v>
      </c>
      <c r="P31" s="7" t="s">
        <v>353</v>
      </c>
      <c r="Q31" s="21" t="s">
        <v>185</v>
      </c>
      <c r="R31" s="15"/>
      <c r="S31" s="15" t="n">
        <f aca="false">IF(M31&gt;0,1,0)</f>
        <v>0</v>
      </c>
      <c r="T31" s="15" t="n">
        <f aca="false">IF(OR(M31&gt;0,N31="已修改"),1,0)</f>
        <v>1</v>
      </c>
      <c r="U31" s="15" t="n">
        <v>1739</v>
      </c>
      <c r="V31" s="15" t="n">
        <v>6.6</v>
      </c>
    </row>
    <row r="32" customFormat="false" ht="27.75" hidden="false" customHeight="true" outlineLevel="0" collapsed="false">
      <c r="A32" s="15" t="s">
        <v>354</v>
      </c>
      <c r="B32" s="15" t="s">
        <v>176</v>
      </c>
      <c r="C32" s="7" t="s">
        <v>177</v>
      </c>
      <c r="D32" s="7" t="s">
        <v>355</v>
      </c>
      <c r="E32" s="15" t="s">
        <v>356</v>
      </c>
      <c r="F32" s="15" t="s">
        <v>356</v>
      </c>
      <c r="G32" s="7" t="s">
        <v>357</v>
      </c>
      <c r="H32" s="15" t="s">
        <v>356</v>
      </c>
      <c r="I32" s="15" t="n">
        <v>0</v>
      </c>
      <c r="J32" s="7" t="s">
        <v>358</v>
      </c>
      <c r="K32" s="7" t="s">
        <v>359</v>
      </c>
      <c r="L32" s="21" t="s">
        <v>360</v>
      </c>
      <c r="M32" s="15" t="n">
        <v>0</v>
      </c>
      <c r="N32" s="7" t="s">
        <v>358</v>
      </c>
      <c r="O32" s="15" t="n">
        <v>0</v>
      </c>
      <c r="P32" s="7" t="s">
        <v>359</v>
      </c>
      <c r="Q32" s="21" t="s">
        <v>360</v>
      </c>
      <c r="R32" s="15"/>
      <c r="S32" s="15" t="n">
        <f aca="false">IF(M32&gt;0,1,0)</f>
        <v>0</v>
      </c>
      <c r="T32" s="15" t="n">
        <f aca="false">IF(OR(M32&gt;0,N32="已修改"),1,0)</f>
        <v>0</v>
      </c>
      <c r="U32" s="15" t="n">
        <v>1420</v>
      </c>
      <c r="V32" s="15" t="n">
        <v>3.2</v>
      </c>
    </row>
    <row r="33" customFormat="false" ht="27.75" hidden="false" customHeight="true" outlineLevel="0" collapsed="false">
      <c r="A33" s="15" t="s">
        <v>361</v>
      </c>
      <c r="B33" s="15" t="s">
        <v>176</v>
      </c>
      <c r="C33" s="7" t="s">
        <v>177</v>
      </c>
      <c r="D33" s="7" t="s">
        <v>355</v>
      </c>
      <c r="E33" s="15" t="s">
        <v>356</v>
      </c>
      <c r="F33" s="15" t="s">
        <v>356</v>
      </c>
      <c r="G33" s="7" t="s">
        <v>362</v>
      </c>
      <c r="H33" s="15" t="s">
        <v>356</v>
      </c>
      <c r="I33" s="15" t="n">
        <v>0</v>
      </c>
      <c r="J33" s="7" t="s">
        <v>358</v>
      </c>
      <c r="K33" s="7" t="s">
        <v>359</v>
      </c>
      <c r="L33" s="21" t="s">
        <v>360</v>
      </c>
      <c r="M33" s="15" t="n">
        <v>0</v>
      </c>
      <c r="N33" s="7" t="s">
        <v>358</v>
      </c>
      <c r="O33" s="15" t="n">
        <v>0</v>
      </c>
      <c r="P33" s="7" t="s">
        <v>359</v>
      </c>
      <c r="Q33" s="21" t="s">
        <v>360</v>
      </c>
      <c r="R33" s="15"/>
      <c r="S33" s="15" t="n">
        <f aca="false">IF(M33&gt;0,1,0)</f>
        <v>0</v>
      </c>
      <c r="T33" s="15" t="n">
        <f aca="false">IF(OR(M33&gt;0,N33="已修改"),1,0)</f>
        <v>0</v>
      </c>
      <c r="U33" s="15" t="n">
        <v>1271</v>
      </c>
      <c r="V33" s="15" t="n">
        <v>2.6</v>
      </c>
    </row>
    <row r="34" customFormat="false" ht="27.75" hidden="false" customHeight="true" outlineLevel="0" collapsed="false">
      <c r="A34" s="15" t="s">
        <v>363</v>
      </c>
      <c r="B34" s="15" t="s">
        <v>176</v>
      </c>
      <c r="C34" s="7" t="s">
        <v>177</v>
      </c>
      <c r="D34" s="7" t="s">
        <v>355</v>
      </c>
      <c r="E34" s="15" t="s">
        <v>356</v>
      </c>
      <c r="F34" s="15" t="s">
        <v>356</v>
      </c>
      <c r="G34" s="7" t="s">
        <v>364</v>
      </c>
      <c r="H34" s="15" t="s">
        <v>356</v>
      </c>
      <c r="I34" s="15" t="n">
        <v>0</v>
      </c>
      <c r="J34" s="7" t="s">
        <v>358</v>
      </c>
      <c r="K34" s="7" t="s">
        <v>359</v>
      </c>
      <c r="L34" s="21" t="s">
        <v>360</v>
      </c>
      <c r="M34" s="15" t="n">
        <v>0</v>
      </c>
      <c r="N34" s="7" t="s">
        <v>358</v>
      </c>
      <c r="O34" s="15" t="n">
        <v>0</v>
      </c>
      <c r="P34" s="7" t="s">
        <v>359</v>
      </c>
      <c r="Q34" s="21" t="s">
        <v>360</v>
      </c>
      <c r="R34" s="15"/>
      <c r="S34" s="15" t="n">
        <f aca="false">IF(M34&gt;0,1,0)</f>
        <v>0</v>
      </c>
      <c r="T34" s="15" t="n">
        <f aca="false">IF(OR(M34&gt;0,N34="已修改"),1,0)</f>
        <v>0</v>
      </c>
      <c r="U34" s="15" t="n">
        <v>1331</v>
      </c>
      <c r="V34" s="15" t="n">
        <v>3.4</v>
      </c>
    </row>
    <row r="35" customFormat="false" ht="27.75" hidden="false" customHeight="true" outlineLevel="0" collapsed="false">
      <c r="A35" s="15" t="s">
        <v>365</v>
      </c>
      <c r="B35" s="15" t="s">
        <v>225</v>
      </c>
      <c r="C35" s="7" t="s">
        <v>177</v>
      </c>
      <c r="D35" s="7" t="s">
        <v>355</v>
      </c>
      <c r="E35" s="15" t="s">
        <v>356</v>
      </c>
      <c r="F35" s="15" t="s">
        <v>356</v>
      </c>
      <c r="G35" s="7" t="s">
        <v>366</v>
      </c>
      <c r="H35" s="15" t="s">
        <v>356</v>
      </c>
      <c r="I35" s="15" t="n">
        <v>0</v>
      </c>
      <c r="J35" s="7" t="s">
        <v>358</v>
      </c>
      <c r="K35" s="7" t="s">
        <v>359</v>
      </c>
      <c r="L35" s="21" t="s">
        <v>360</v>
      </c>
      <c r="M35" s="15" t="n">
        <v>0</v>
      </c>
      <c r="N35" s="7" t="s">
        <v>358</v>
      </c>
      <c r="O35" s="15" t="n">
        <v>0</v>
      </c>
      <c r="P35" s="7" t="s">
        <v>359</v>
      </c>
      <c r="Q35" s="21" t="s">
        <v>360</v>
      </c>
      <c r="R35" s="15"/>
      <c r="S35" s="15" t="n">
        <f aca="false">IF(M35&gt;0,1,0)</f>
        <v>0</v>
      </c>
      <c r="T35" s="15" t="n">
        <f aca="false">IF(OR(M35&gt;0,N35="已修改"),1,0)</f>
        <v>0</v>
      </c>
      <c r="U35" s="15" t="n">
        <v>1252</v>
      </c>
      <c r="V35" s="15" t="n">
        <v>3.9</v>
      </c>
    </row>
    <row r="36" customFormat="false" ht="27.75" hidden="false" customHeight="true" outlineLevel="0" collapsed="false">
      <c r="A36" s="15" t="s">
        <v>367</v>
      </c>
      <c r="B36" s="15" t="s">
        <v>225</v>
      </c>
      <c r="C36" s="7" t="s">
        <v>177</v>
      </c>
      <c r="D36" s="7" t="s">
        <v>355</v>
      </c>
      <c r="E36" s="15" t="s">
        <v>356</v>
      </c>
      <c r="F36" s="15" t="s">
        <v>356</v>
      </c>
      <c r="G36" s="7" t="s">
        <v>368</v>
      </c>
      <c r="H36" s="15" t="s">
        <v>356</v>
      </c>
      <c r="I36" s="15" t="n">
        <v>0</v>
      </c>
      <c r="J36" s="7" t="s">
        <v>358</v>
      </c>
      <c r="K36" s="7" t="s">
        <v>359</v>
      </c>
      <c r="L36" s="21" t="s">
        <v>360</v>
      </c>
      <c r="M36" s="15" t="n">
        <v>0</v>
      </c>
      <c r="N36" s="7" t="s">
        <v>358</v>
      </c>
      <c r="O36" s="15" t="n">
        <v>0</v>
      </c>
      <c r="P36" s="7" t="s">
        <v>359</v>
      </c>
      <c r="Q36" s="21" t="s">
        <v>360</v>
      </c>
      <c r="R36" s="15"/>
      <c r="S36" s="15" t="n">
        <f aca="false">IF(M36&gt;0,1,0)</f>
        <v>0</v>
      </c>
      <c r="T36" s="15" t="n">
        <f aca="false">IF(OR(M36&gt;0,N36="已修改"),1,0)</f>
        <v>0</v>
      </c>
      <c r="U36" s="15" t="n">
        <v>1397</v>
      </c>
      <c r="V36" s="15" t="n">
        <v>3.5</v>
      </c>
    </row>
    <row r="37" customFormat="false" ht="27.75" hidden="false" customHeight="true" outlineLevel="0" collapsed="false">
      <c r="A37" s="15" t="s">
        <v>369</v>
      </c>
      <c r="B37" s="15" t="s">
        <v>225</v>
      </c>
      <c r="C37" s="7" t="s">
        <v>177</v>
      </c>
      <c r="D37" s="7" t="s">
        <v>355</v>
      </c>
      <c r="E37" s="15" t="s">
        <v>356</v>
      </c>
      <c r="F37" s="15" t="s">
        <v>356</v>
      </c>
      <c r="G37" s="7" t="s">
        <v>370</v>
      </c>
      <c r="H37" s="15" t="s">
        <v>356</v>
      </c>
      <c r="I37" s="15" t="n">
        <v>0</v>
      </c>
      <c r="J37" s="7" t="s">
        <v>358</v>
      </c>
      <c r="K37" s="7" t="s">
        <v>359</v>
      </c>
      <c r="L37" s="21" t="s">
        <v>360</v>
      </c>
      <c r="M37" s="15" t="n">
        <v>0</v>
      </c>
      <c r="N37" s="7" t="s">
        <v>358</v>
      </c>
      <c r="O37" s="15" t="n">
        <v>0</v>
      </c>
      <c r="P37" s="7" t="s">
        <v>359</v>
      </c>
      <c r="Q37" s="21" t="s">
        <v>360</v>
      </c>
      <c r="R37" s="15"/>
      <c r="S37" s="15" t="n">
        <f aca="false">IF(M37&gt;0,1,0)</f>
        <v>0</v>
      </c>
      <c r="T37" s="15" t="n">
        <f aca="false">IF(OR(M37&gt;0,N37="已修改"),1,0)</f>
        <v>0</v>
      </c>
      <c r="U37" s="15" t="n">
        <v>1291</v>
      </c>
      <c r="V37" s="15" t="n">
        <v>3.1</v>
      </c>
    </row>
    <row r="38" customFormat="false" ht="27.75" hidden="false" customHeight="true" outlineLevel="0" collapsed="false">
      <c r="A38" s="15" t="s">
        <v>371</v>
      </c>
      <c r="B38" s="15" t="s">
        <v>261</v>
      </c>
      <c r="C38" s="7" t="s">
        <v>177</v>
      </c>
      <c r="D38" s="7" t="s">
        <v>355</v>
      </c>
      <c r="E38" s="15" t="s">
        <v>356</v>
      </c>
      <c r="F38" s="15" t="s">
        <v>356</v>
      </c>
      <c r="G38" s="7" t="s">
        <v>372</v>
      </c>
      <c r="H38" s="15" t="s">
        <v>356</v>
      </c>
      <c r="I38" s="15" t="n">
        <v>0</v>
      </c>
      <c r="J38" s="7" t="s">
        <v>358</v>
      </c>
      <c r="K38" s="7" t="s">
        <v>359</v>
      </c>
      <c r="L38" s="21" t="s">
        <v>360</v>
      </c>
      <c r="M38" s="15" t="n">
        <v>0</v>
      </c>
      <c r="N38" s="7" t="s">
        <v>358</v>
      </c>
      <c r="O38" s="15" t="n">
        <v>0</v>
      </c>
      <c r="P38" s="7" t="s">
        <v>359</v>
      </c>
      <c r="Q38" s="21" t="s">
        <v>360</v>
      </c>
      <c r="R38" s="15"/>
      <c r="S38" s="15" t="n">
        <f aca="false">IF(M38&gt;0,1,0)</f>
        <v>0</v>
      </c>
      <c r="T38" s="15" t="n">
        <f aca="false">IF(OR(M38&gt;0,N38="已修改"),1,0)</f>
        <v>0</v>
      </c>
      <c r="U38" s="15" t="n">
        <v>1733</v>
      </c>
      <c r="V38" s="15" t="n">
        <v>5.9</v>
      </c>
    </row>
    <row r="39" customFormat="false" ht="27.75" hidden="false" customHeight="true" outlineLevel="0" collapsed="false">
      <c r="A39" s="15" t="s">
        <v>373</v>
      </c>
      <c r="B39" s="15" t="s">
        <v>261</v>
      </c>
      <c r="C39" s="7" t="s">
        <v>177</v>
      </c>
      <c r="D39" s="7" t="s">
        <v>355</v>
      </c>
      <c r="E39" s="15" t="s">
        <v>356</v>
      </c>
      <c r="F39" s="15" t="s">
        <v>356</v>
      </c>
      <c r="G39" s="7" t="s">
        <v>374</v>
      </c>
      <c r="H39" s="15" t="s">
        <v>356</v>
      </c>
      <c r="I39" s="15" t="n">
        <v>0</v>
      </c>
      <c r="J39" s="7" t="s">
        <v>358</v>
      </c>
      <c r="K39" s="7" t="s">
        <v>359</v>
      </c>
      <c r="L39" s="21" t="s">
        <v>360</v>
      </c>
      <c r="M39" s="15" t="n">
        <v>0</v>
      </c>
      <c r="N39" s="7" t="s">
        <v>358</v>
      </c>
      <c r="O39" s="15" t="n">
        <v>0</v>
      </c>
      <c r="P39" s="7" t="s">
        <v>359</v>
      </c>
      <c r="Q39" s="21" t="s">
        <v>360</v>
      </c>
      <c r="R39" s="15"/>
      <c r="S39" s="15" t="n">
        <f aca="false">IF(M39&gt;0,1,0)</f>
        <v>0</v>
      </c>
      <c r="T39" s="15" t="n">
        <f aca="false">IF(OR(M39&gt;0,N39="已修改"),1,0)</f>
        <v>0</v>
      </c>
      <c r="U39" s="15" t="n">
        <v>1194</v>
      </c>
      <c r="V39" s="15" t="n">
        <v>3</v>
      </c>
    </row>
    <row r="40" customFormat="false" ht="27.75" hidden="false" customHeight="true" outlineLevel="0" collapsed="false">
      <c r="A40" s="15" t="s">
        <v>375</v>
      </c>
      <c r="B40" s="15" t="s">
        <v>261</v>
      </c>
      <c r="C40" s="7" t="s">
        <v>177</v>
      </c>
      <c r="D40" s="7" t="s">
        <v>355</v>
      </c>
      <c r="E40" s="15" t="s">
        <v>356</v>
      </c>
      <c r="F40" s="15" t="s">
        <v>356</v>
      </c>
      <c r="G40" s="7" t="s">
        <v>376</v>
      </c>
      <c r="H40" s="15" t="s">
        <v>356</v>
      </c>
      <c r="I40" s="15" t="n">
        <v>0</v>
      </c>
      <c r="J40" s="7" t="s">
        <v>358</v>
      </c>
      <c r="K40" s="7" t="s">
        <v>359</v>
      </c>
      <c r="L40" s="21" t="s">
        <v>360</v>
      </c>
      <c r="M40" s="15" t="n">
        <v>0</v>
      </c>
      <c r="N40" s="7" t="s">
        <v>358</v>
      </c>
      <c r="O40" s="15" t="n">
        <v>0</v>
      </c>
      <c r="P40" s="7" t="s">
        <v>359</v>
      </c>
      <c r="Q40" s="21" t="s">
        <v>360</v>
      </c>
      <c r="R40" s="15"/>
      <c r="S40" s="15" t="n">
        <f aca="false">IF(M40&gt;0,1,0)</f>
        <v>0</v>
      </c>
      <c r="T40" s="15" t="n">
        <f aca="false">IF(OR(M40&gt;0,N40="已修改"),1,0)</f>
        <v>0</v>
      </c>
      <c r="U40" s="15" t="n">
        <v>1287</v>
      </c>
      <c r="V40" s="15" t="n">
        <v>3.5</v>
      </c>
    </row>
    <row r="41" customFormat="false" ht="27.75" hidden="false" customHeight="true" outlineLevel="0" collapsed="false">
      <c r="A41" s="15" t="s">
        <v>377</v>
      </c>
      <c r="B41" s="15" t="s">
        <v>290</v>
      </c>
      <c r="C41" s="7" t="s">
        <v>291</v>
      </c>
      <c r="D41" s="7" t="s">
        <v>355</v>
      </c>
      <c r="E41" s="15" t="s">
        <v>356</v>
      </c>
      <c r="F41" s="15" t="s">
        <v>356</v>
      </c>
      <c r="G41" s="7" t="s">
        <v>378</v>
      </c>
      <c r="H41" s="15" t="s">
        <v>356</v>
      </c>
      <c r="I41" s="15" t="n">
        <v>0</v>
      </c>
      <c r="J41" s="7" t="s">
        <v>358</v>
      </c>
      <c r="K41" s="7" t="s">
        <v>359</v>
      </c>
      <c r="L41" s="21" t="s">
        <v>360</v>
      </c>
      <c r="M41" s="15" t="n">
        <v>0</v>
      </c>
      <c r="N41" s="7" t="s">
        <v>358</v>
      </c>
      <c r="O41" s="15" t="n">
        <v>0</v>
      </c>
      <c r="P41" s="7" t="s">
        <v>359</v>
      </c>
      <c r="Q41" s="21" t="s">
        <v>360</v>
      </c>
      <c r="R41" s="15"/>
      <c r="S41" s="15" t="n">
        <f aca="false">IF(M41&gt;0,1,0)</f>
        <v>0</v>
      </c>
      <c r="T41" s="15" t="n">
        <f aca="false">IF(OR(M41&gt;0,N41="已修改"),1,0)</f>
        <v>0</v>
      </c>
      <c r="U41" s="15" t="n">
        <v>1777</v>
      </c>
      <c r="V41" s="15" t="n">
        <v>5.6</v>
      </c>
    </row>
    <row r="42" customFormat="false" ht="27.75" hidden="false" customHeight="true" outlineLevel="0" collapsed="false">
      <c r="A42" s="15" t="s">
        <v>379</v>
      </c>
      <c r="B42" s="15" t="s">
        <v>290</v>
      </c>
      <c r="C42" s="7" t="s">
        <v>291</v>
      </c>
      <c r="D42" s="7" t="s">
        <v>355</v>
      </c>
      <c r="E42" s="15" t="s">
        <v>356</v>
      </c>
      <c r="F42" s="15" t="s">
        <v>356</v>
      </c>
      <c r="G42" s="7" t="s">
        <v>380</v>
      </c>
      <c r="H42" s="15" t="s">
        <v>356</v>
      </c>
      <c r="I42" s="15" t="n">
        <v>0</v>
      </c>
      <c r="J42" s="7" t="s">
        <v>358</v>
      </c>
      <c r="K42" s="7" t="s">
        <v>359</v>
      </c>
      <c r="L42" s="21" t="s">
        <v>360</v>
      </c>
      <c r="M42" s="15" t="n">
        <v>0</v>
      </c>
      <c r="N42" s="7" t="s">
        <v>358</v>
      </c>
      <c r="O42" s="15" t="n">
        <v>0</v>
      </c>
      <c r="P42" s="7" t="s">
        <v>359</v>
      </c>
      <c r="Q42" s="21" t="s">
        <v>360</v>
      </c>
      <c r="R42" s="15"/>
      <c r="S42" s="15" t="n">
        <f aca="false">IF(M42&gt;0,1,0)</f>
        <v>0</v>
      </c>
      <c r="T42" s="15" t="n">
        <f aca="false">IF(OR(M42&gt;0,N42="已修改"),1,0)</f>
        <v>0</v>
      </c>
      <c r="U42" s="15" t="n">
        <v>1571</v>
      </c>
      <c r="V42" s="15" t="n">
        <v>4.4</v>
      </c>
    </row>
    <row r="43" customFormat="false" ht="27.75" hidden="false" customHeight="true" outlineLevel="0" collapsed="false">
      <c r="A43" s="15" t="s">
        <v>381</v>
      </c>
      <c r="B43" s="15" t="s">
        <v>290</v>
      </c>
      <c r="C43" s="7" t="s">
        <v>291</v>
      </c>
      <c r="D43" s="7" t="s">
        <v>355</v>
      </c>
      <c r="E43" s="15" t="s">
        <v>356</v>
      </c>
      <c r="F43" s="15" t="s">
        <v>356</v>
      </c>
      <c r="G43" s="7" t="s">
        <v>382</v>
      </c>
      <c r="H43" s="15" t="s">
        <v>356</v>
      </c>
      <c r="I43" s="15" t="n">
        <v>0</v>
      </c>
      <c r="J43" s="7" t="s">
        <v>358</v>
      </c>
      <c r="K43" s="7" t="s">
        <v>359</v>
      </c>
      <c r="L43" s="21" t="s">
        <v>360</v>
      </c>
      <c r="M43" s="15" t="n">
        <v>0</v>
      </c>
      <c r="N43" s="7" t="s">
        <v>358</v>
      </c>
      <c r="O43" s="15" t="n">
        <v>0</v>
      </c>
      <c r="P43" s="7" t="s">
        <v>359</v>
      </c>
      <c r="Q43" s="21" t="s">
        <v>360</v>
      </c>
      <c r="R43" s="15"/>
      <c r="S43" s="15" t="n">
        <f aca="false">IF(M43&gt;0,1,0)</f>
        <v>0</v>
      </c>
      <c r="T43" s="15" t="n">
        <f aca="false">IF(OR(M43&gt;0,N43="已修改"),1,0)</f>
        <v>0</v>
      </c>
      <c r="U43" s="15" t="n">
        <v>1232</v>
      </c>
      <c r="V43" s="15" t="n">
        <v>2.6</v>
      </c>
    </row>
    <row r="44" customFormat="false" ht="27.75" hidden="false" customHeight="true" outlineLevel="0" collapsed="false">
      <c r="A44" s="15" t="s">
        <v>383</v>
      </c>
      <c r="B44" s="15" t="s">
        <v>316</v>
      </c>
      <c r="C44" s="7" t="s">
        <v>291</v>
      </c>
      <c r="D44" s="7" t="s">
        <v>355</v>
      </c>
      <c r="E44" s="15" t="s">
        <v>356</v>
      </c>
      <c r="F44" s="15" t="s">
        <v>356</v>
      </c>
      <c r="G44" s="7" t="s">
        <v>384</v>
      </c>
      <c r="H44" s="15" t="s">
        <v>356</v>
      </c>
      <c r="I44" s="15" t="n">
        <v>0</v>
      </c>
      <c r="J44" s="7" t="s">
        <v>358</v>
      </c>
      <c r="K44" s="7" t="s">
        <v>359</v>
      </c>
      <c r="L44" s="21" t="s">
        <v>360</v>
      </c>
      <c r="M44" s="15" t="n">
        <v>0</v>
      </c>
      <c r="N44" s="7" t="s">
        <v>358</v>
      </c>
      <c r="O44" s="15" t="n">
        <v>0</v>
      </c>
      <c r="P44" s="7" t="s">
        <v>359</v>
      </c>
      <c r="Q44" s="21" t="s">
        <v>360</v>
      </c>
      <c r="R44" s="15"/>
      <c r="S44" s="15" t="n">
        <f aca="false">IF(M44&gt;0,1,0)</f>
        <v>0</v>
      </c>
      <c r="T44" s="15" t="n">
        <f aca="false">IF(OR(M44&gt;0,N44="已修改"),1,0)</f>
        <v>0</v>
      </c>
      <c r="U44" s="15" t="n">
        <v>1367</v>
      </c>
      <c r="V44" s="15" t="n">
        <v>3.2</v>
      </c>
    </row>
    <row r="45" customFormat="false" ht="27.75" hidden="false" customHeight="true" outlineLevel="0" collapsed="false">
      <c r="A45" s="15" t="s">
        <v>385</v>
      </c>
      <c r="B45" s="15" t="s">
        <v>316</v>
      </c>
      <c r="C45" s="7" t="s">
        <v>291</v>
      </c>
      <c r="D45" s="7" t="s">
        <v>355</v>
      </c>
      <c r="E45" s="15" t="s">
        <v>356</v>
      </c>
      <c r="F45" s="15" t="s">
        <v>356</v>
      </c>
      <c r="G45" s="7" t="s">
        <v>386</v>
      </c>
      <c r="H45" s="15" t="s">
        <v>356</v>
      </c>
      <c r="I45" s="15" t="n">
        <v>0</v>
      </c>
      <c r="J45" s="7" t="s">
        <v>358</v>
      </c>
      <c r="K45" s="7" t="s">
        <v>359</v>
      </c>
      <c r="L45" s="21" t="s">
        <v>360</v>
      </c>
      <c r="M45" s="15" t="n">
        <v>0</v>
      </c>
      <c r="N45" s="7" t="s">
        <v>358</v>
      </c>
      <c r="O45" s="15" t="n">
        <v>0</v>
      </c>
      <c r="P45" s="7" t="s">
        <v>359</v>
      </c>
      <c r="Q45" s="21" t="s">
        <v>360</v>
      </c>
      <c r="R45" s="15"/>
      <c r="S45" s="15" t="n">
        <f aca="false">IF(M45&gt;0,1,0)</f>
        <v>0</v>
      </c>
      <c r="T45" s="15" t="n">
        <f aca="false">IF(OR(M45&gt;0,N45="已修改"),1,0)</f>
        <v>0</v>
      </c>
      <c r="U45" s="15" t="n">
        <v>1376</v>
      </c>
      <c r="V45" s="15" t="n">
        <v>3.4</v>
      </c>
    </row>
    <row r="46" customFormat="false" ht="27.75" hidden="false" customHeight="true" outlineLevel="0" collapsed="false">
      <c r="A46" s="15" t="s">
        <v>387</v>
      </c>
      <c r="B46" s="15" t="s">
        <v>316</v>
      </c>
      <c r="C46" s="7" t="s">
        <v>291</v>
      </c>
      <c r="D46" s="7" t="s">
        <v>355</v>
      </c>
      <c r="E46" s="15" t="s">
        <v>356</v>
      </c>
      <c r="F46" s="15" t="s">
        <v>356</v>
      </c>
      <c r="G46" s="7" t="s">
        <v>388</v>
      </c>
      <c r="H46" s="15" t="s">
        <v>356</v>
      </c>
      <c r="I46" s="15" t="n">
        <v>0</v>
      </c>
      <c r="J46" s="7" t="s">
        <v>358</v>
      </c>
      <c r="K46" s="7" t="s">
        <v>359</v>
      </c>
      <c r="L46" s="21" t="s">
        <v>360</v>
      </c>
      <c r="M46" s="15" t="n">
        <v>0</v>
      </c>
      <c r="N46" s="7" t="s">
        <v>358</v>
      </c>
      <c r="O46" s="15" t="n">
        <v>0</v>
      </c>
      <c r="P46" s="7" t="s">
        <v>359</v>
      </c>
      <c r="Q46" s="21" t="s">
        <v>360</v>
      </c>
      <c r="R46" s="15"/>
      <c r="S46" s="15" t="n">
        <f aca="false">IF(M46&gt;0,1,0)</f>
        <v>0</v>
      </c>
      <c r="T46" s="15" t="n">
        <f aca="false">IF(OR(M46&gt;0,N46="已修改"),1,0)</f>
        <v>0</v>
      </c>
      <c r="U46" s="15" t="n">
        <v>1230</v>
      </c>
      <c r="V46" s="15" t="n">
        <v>2.3</v>
      </c>
    </row>
    <row r="47" customFormat="false" ht="27.75" hidden="false" customHeight="true" outlineLevel="0" collapsed="false">
      <c r="A47" s="15" t="s">
        <v>389</v>
      </c>
      <c r="B47" s="15" t="s">
        <v>316</v>
      </c>
      <c r="C47" s="7" t="s">
        <v>291</v>
      </c>
      <c r="D47" s="7" t="s">
        <v>355</v>
      </c>
      <c r="E47" s="15" t="s">
        <v>356</v>
      </c>
      <c r="F47" s="15" t="s">
        <v>356</v>
      </c>
      <c r="G47" s="7" t="s">
        <v>390</v>
      </c>
      <c r="H47" s="15" t="s">
        <v>356</v>
      </c>
      <c r="I47" s="15" t="n">
        <v>0</v>
      </c>
      <c r="J47" s="7" t="s">
        <v>358</v>
      </c>
      <c r="K47" s="7" t="s">
        <v>359</v>
      </c>
      <c r="L47" s="21" t="s">
        <v>360</v>
      </c>
      <c r="M47" s="15" t="n">
        <v>0</v>
      </c>
      <c r="N47" s="7" t="s">
        <v>358</v>
      </c>
      <c r="O47" s="15" t="n">
        <v>0</v>
      </c>
      <c r="P47" s="7" t="s">
        <v>359</v>
      </c>
      <c r="Q47" s="21" t="s">
        <v>360</v>
      </c>
      <c r="R47" s="15"/>
      <c r="S47" s="15" t="n">
        <f aca="false">IF(M47&gt;0,1,0)</f>
        <v>0</v>
      </c>
      <c r="T47" s="15" t="n">
        <f aca="false">IF(OR(M47&gt;0,N47="已修改"),1,0)</f>
        <v>0</v>
      </c>
      <c r="U47" s="15" t="n">
        <v>1991</v>
      </c>
      <c r="V47" s="15" t="n">
        <v>7.9</v>
      </c>
    </row>
    <row r="48" customFormat="false" ht="27.75" hidden="false" customHeight="true" outlineLevel="0" collapsed="false">
      <c r="A48" s="15" t="s">
        <v>391</v>
      </c>
      <c r="B48" s="15" t="s">
        <v>176</v>
      </c>
      <c r="C48" s="7" t="s">
        <v>177</v>
      </c>
      <c r="D48" s="7" t="s">
        <v>355</v>
      </c>
      <c r="E48" s="15" t="s">
        <v>356</v>
      </c>
      <c r="F48" s="15" t="s">
        <v>356</v>
      </c>
      <c r="G48" s="7" t="s">
        <v>392</v>
      </c>
      <c r="H48" s="15" t="s">
        <v>356</v>
      </c>
      <c r="I48" s="15" t="n">
        <v>0</v>
      </c>
      <c r="J48" s="7" t="s">
        <v>358</v>
      </c>
      <c r="K48" s="7" t="s">
        <v>359</v>
      </c>
      <c r="L48" s="21" t="s">
        <v>360</v>
      </c>
      <c r="M48" s="15" t="n">
        <v>0</v>
      </c>
      <c r="N48" s="7" t="s">
        <v>358</v>
      </c>
      <c r="O48" s="15" t="n">
        <v>0</v>
      </c>
      <c r="P48" s="7" t="s">
        <v>359</v>
      </c>
      <c r="Q48" s="21" t="s">
        <v>360</v>
      </c>
      <c r="R48" s="15"/>
      <c r="S48" s="15" t="n">
        <f aca="false">IF(M48&gt;0,1,0)</f>
        <v>0</v>
      </c>
      <c r="T48" s="15" t="n">
        <f aca="false">IF(OR(M48&gt;0,N48="已修改"),1,0)</f>
        <v>0</v>
      </c>
      <c r="U48" s="15" t="n">
        <v>1798</v>
      </c>
      <c r="V48" s="15" t="n">
        <v>6.6</v>
      </c>
    </row>
    <row r="49" customFormat="false" ht="55.5" hidden="false" customHeight="true" outlineLevel="0" collapsed="false">
      <c r="A49" s="15" t="s">
        <v>393</v>
      </c>
      <c r="B49" s="15" t="s">
        <v>261</v>
      </c>
      <c r="C49" s="7" t="s">
        <v>177</v>
      </c>
      <c r="D49" s="7" t="s">
        <v>355</v>
      </c>
      <c r="E49" s="15" t="s">
        <v>356</v>
      </c>
      <c r="F49" s="15" t="s">
        <v>356</v>
      </c>
      <c r="G49" s="7" t="s">
        <v>394</v>
      </c>
      <c r="H49" s="15" t="s">
        <v>356</v>
      </c>
      <c r="I49" s="15" t="n">
        <v>0</v>
      </c>
      <c r="J49" s="7" t="s">
        <v>358</v>
      </c>
      <c r="K49" s="7" t="s">
        <v>359</v>
      </c>
      <c r="L49" s="21" t="s">
        <v>360</v>
      </c>
      <c r="M49" s="15" t="n">
        <v>0</v>
      </c>
      <c r="N49" s="7" t="s">
        <v>183</v>
      </c>
      <c r="O49" s="15" t="n">
        <v>0</v>
      </c>
      <c r="P49" s="15" t="s">
        <v>395</v>
      </c>
      <c r="Q49" s="21" t="s">
        <v>396</v>
      </c>
      <c r="R49" s="7" t="s">
        <v>397</v>
      </c>
      <c r="S49" s="15" t="n">
        <f aca="false">IF(M49&gt;0,1,0)</f>
        <v>0</v>
      </c>
      <c r="T49" s="15" t="n">
        <f aca="false">IF(OR(M49&gt;0,N49="已修改"),1,0)</f>
        <v>1</v>
      </c>
      <c r="U49" s="15" t="n">
        <v>1637</v>
      </c>
      <c r="V49" s="15" t="n">
        <v>5.5</v>
      </c>
    </row>
  </sheetData>
  <conditionalFormatting sqref="L2:L49">
    <cfRule type="cellIs" priority="2" operator="equal" aboveAverage="0" equalAverage="0" bottom="0" percent="0" rank="0" text="" dxfId="0">
      <formula>"拦截成功"</formula>
    </cfRule>
    <cfRule type="cellIs" priority="3" operator="equal" aboveAverage="0" equalAverage="0" bottom="0" percent="0" rank="0" text="" dxfId="0">
      <formula>"正确放行"</formula>
    </cfRule>
    <cfRule type="cellIs" priority="4" operator="equal" aboveAverage="0" equalAverage="0" bottom="0" percent="0" rank="0" text="" dxfId="2">
      <formula>"残留"</formula>
    </cfRule>
    <cfRule type="cellIs" priority="5" operator="equal" aboveAverage="0" equalAverage="0" bottom="0" percent="0" rank="0" text="" dxfId="2">
      <formula>"引入新错误"</formula>
    </cfRule>
    <cfRule type="cellIs" priority="6" operator="equal" aboveAverage="0" equalAverage="0" bottom="0" percent="0" rank="0" text="" dxfId="2">
      <formula>"误改"</formula>
    </cfRule>
  </conditionalFormatting>
  <conditionalFormatting sqref="Q2:Q49">
    <cfRule type="cellIs" priority="7" operator="equal" aboveAverage="0" equalAverage="0" bottom="0" percent="0" rank="0" text="" dxfId="0">
      <formula>"拦截成功"</formula>
    </cfRule>
    <cfRule type="cellIs" priority="8" operator="equal" aboveAverage="0" equalAverage="0" bottom="0" percent="0" rank="0" text="" dxfId="0">
      <formula>"正确放行"</formula>
    </cfRule>
    <cfRule type="cellIs" priority="9" operator="equal" aboveAverage="0" equalAverage="0" bottom="0" percent="0" rank="0" text="" dxfId="2">
      <formula>"残留"</formula>
    </cfRule>
    <cfRule type="cellIs" priority="10" operator="equal" aboveAverage="0" equalAverage="0" bottom="0" percent="0" rank="0" text="" dxfId="2">
      <formula>"引入新错误"</formula>
    </cfRule>
    <cfRule type="cellIs" priority="11" operator="equal" aboveAverage="0" equalAverage="0" bottom="0" percent="0" rank="0" text="" dxfId="2">
      <formula>"误改"</formula>
    </cfRule>
  </conditionalFormatting>
  <dataValidations count="1">
    <dataValidation allowBlank="true" errorStyle="stop" operator="between" showDropDown="false" showErrorMessage="false" showInputMessage="false" sqref="L2:L49 Q2:Q49" type="list">
      <formula1>"拦截成功,残留,引入新错误,正确放行,误改"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9" min="7" style="0" width="7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46"/>
    <col collapsed="false" customWidth="true" hidden="false" outlineLevel="0" max="15" min="14" style="0" width="8"/>
    <col collapsed="false" customWidth="true" hidden="false" outlineLevel="0" max="16" min="16" style="0" width="14"/>
    <col collapsed="false" customWidth="true" hidden="false" outlineLevel="0" max="17" min="17" style="0" width="34"/>
    <col collapsed="false" customWidth="true" hidden="false" outlineLevel="0" max="18" min="18" style="0" width="7"/>
    <col collapsed="false" customWidth="true" hidden="false" outlineLevel="0" max="22" min="19" style="0" width="8"/>
    <col collapsed="false" customWidth="true" hidden="false" outlineLevel="0" max="23" min="23" style="0" width="16"/>
    <col collapsed="false" customWidth="true" hidden="false" outlineLevel="0" max="28" min="24" style="0" width="9"/>
    <col collapsed="false" customWidth="true" hidden="false" outlineLevel="0" max="29" min="29" style="0" width="11"/>
    <col collapsed="false" customWidth="true" hidden="false" outlineLevel="0" max="30" min="30" style="0" width="30"/>
  </cols>
  <sheetData>
    <row r="1" customFormat="false" ht="42" hidden="false" customHeight="true" outlineLevel="0" collapsed="false">
      <c r="A1" s="5" t="s">
        <v>27</v>
      </c>
      <c r="B1" s="5" t="s">
        <v>155</v>
      </c>
      <c r="C1" s="5" t="s">
        <v>28</v>
      </c>
      <c r="D1" s="5" t="s">
        <v>398</v>
      </c>
      <c r="E1" s="5" t="s">
        <v>399</v>
      </c>
      <c r="F1" s="5" t="s">
        <v>400</v>
      </c>
      <c r="G1" s="5" t="s">
        <v>401</v>
      </c>
      <c r="H1" s="5" t="s">
        <v>402</v>
      </c>
      <c r="I1" s="5" t="s">
        <v>403</v>
      </c>
      <c r="J1" s="5" t="s">
        <v>404</v>
      </c>
      <c r="K1" s="5" t="s">
        <v>405</v>
      </c>
      <c r="L1" s="5" t="s">
        <v>406</v>
      </c>
      <c r="M1" s="5" t="s">
        <v>407</v>
      </c>
      <c r="N1" s="5" t="s">
        <v>408</v>
      </c>
      <c r="O1" s="5" t="s">
        <v>409</v>
      </c>
      <c r="P1" s="5" t="s">
        <v>410</v>
      </c>
      <c r="Q1" s="17" t="s">
        <v>411</v>
      </c>
      <c r="R1" s="5" t="s">
        <v>412</v>
      </c>
      <c r="S1" s="5" t="s">
        <v>413</v>
      </c>
      <c r="T1" s="17" t="s">
        <v>414</v>
      </c>
      <c r="U1" s="17" t="s">
        <v>415</v>
      </c>
      <c r="V1" s="17" t="s">
        <v>416</v>
      </c>
      <c r="W1" s="5" t="s">
        <v>417</v>
      </c>
      <c r="X1" s="5" t="s">
        <v>418</v>
      </c>
      <c r="Y1" s="5" t="s">
        <v>419</v>
      </c>
      <c r="Z1" s="5" t="s">
        <v>420</v>
      </c>
      <c r="AA1" s="5" t="s">
        <v>421</v>
      </c>
      <c r="AB1" s="5" t="s">
        <v>422</v>
      </c>
      <c r="AC1" s="5" t="s">
        <v>423</v>
      </c>
      <c r="AD1" s="5" t="s">
        <v>424</v>
      </c>
    </row>
    <row r="2" customFormat="false" ht="27.75" hidden="false" customHeight="true" outlineLevel="0" collapsed="false">
      <c r="A2" s="15" t="s">
        <v>38</v>
      </c>
      <c r="B2" s="15" t="s">
        <v>290</v>
      </c>
      <c r="C2" s="7" t="s">
        <v>39</v>
      </c>
      <c r="D2" s="7" t="s">
        <v>425</v>
      </c>
      <c r="E2" s="7" t="s">
        <v>426</v>
      </c>
      <c r="F2" s="15" t="s">
        <v>356</v>
      </c>
      <c r="G2" s="15" t="n">
        <v>7</v>
      </c>
      <c r="H2" s="15" t="n">
        <v>7</v>
      </c>
      <c r="I2" s="15" t="n">
        <v>0</v>
      </c>
      <c r="J2" s="15" t="n">
        <v>1</v>
      </c>
      <c r="K2" s="7" t="s">
        <v>299</v>
      </c>
      <c r="L2" s="15" t="n">
        <v>4</v>
      </c>
      <c r="M2" s="7" t="s">
        <v>427</v>
      </c>
      <c r="N2" s="15" t="n">
        <v>0</v>
      </c>
      <c r="O2" s="15" t="n">
        <v>0</v>
      </c>
      <c r="P2" s="7" t="s">
        <v>428</v>
      </c>
      <c r="Q2" s="7" t="s">
        <v>429</v>
      </c>
      <c r="R2" s="15" t="n">
        <v>41.1</v>
      </c>
      <c r="S2" s="15" t="n">
        <v>9904</v>
      </c>
      <c r="T2" s="15" t="n">
        <v>1981</v>
      </c>
      <c r="U2" s="15" t="n">
        <v>2396</v>
      </c>
      <c r="V2" s="15" t="n">
        <v>5527</v>
      </c>
      <c r="W2" s="15" t="s">
        <v>430</v>
      </c>
      <c r="X2" s="15" t="n">
        <f aca="false">IF(终稿打分!E2="","",终稿打分!E2)</f>
        <v>3</v>
      </c>
      <c r="Y2" s="15" t="n">
        <f aca="false">IF(终稿打分!F2="","",终稿打分!F2)</f>
        <v>3</v>
      </c>
      <c r="Z2" s="15" t="n">
        <f aca="false">IF(终稿打分!G2="","",终稿打分!G2)</f>
        <v>3</v>
      </c>
      <c r="AA2" s="15" t="n">
        <f aca="false">IF(终稿打分!H2="","",终稿打分!H2)</f>
        <v>3</v>
      </c>
      <c r="AB2" s="15" t="n">
        <f aca="false">IF(终稿打分!I2="","",终稿打分!I2)</f>
        <v>2</v>
      </c>
      <c r="AC2" s="10" t="str">
        <f aca="false">IF(COUNT(X2:AB2)&lt;5,"",IF(OR(X2=1,Y2=1,Z2=1,AA2=1),"重写",IF(COUNTIF(X2:AB2,3)=5,"直接用","小改")))</f>
        <v>小改</v>
      </c>
      <c r="AD2" s="15" t="str">
        <f aca="false">IF(终稿打分!K2="","",终稿打分!K2)</f>
        <v>图 2，咀嚼片近景，体现不出酸甜好嚼不粘牙的卖点</v>
      </c>
    </row>
    <row r="3" customFormat="false" ht="42" hidden="false" customHeight="true" outlineLevel="0" collapsed="false">
      <c r="A3" s="15" t="s">
        <v>43</v>
      </c>
      <c r="B3" s="15" t="s">
        <v>290</v>
      </c>
      <c r="C3" s="7" t="s">
        <v>44</v>
      </c>
      <c r="D3" s="7" t="s">
        <v>431</v>
      </c>
      <c r="E3" s="7" t="s">
        <v>432</v>
      </c>
      <c r="F3" s="7" t="s">
        <v>433</v>
      </c>
      <c r="G3" s="15" t="n">
        <v>7</v>
      </c>
      <c r="H3" s="15" t="n">
        <v>7</v>
      </c>
      <c r="I3" s="15" t="n">
        <v>0</v>
      </c>
      <c r="J3" s="15" t="n">
        <v>1</v>
      </c>
      <c r="K3" s="7" t="s">
        <v>299</v>
      </c>
      <c r="L3" s="15" t="n">
        <v>3</v>
      </c>
      <c r="M3" s="7" t="s">
        <v>434</v>
      </c>
      <c r="N3" s="15" t="n">
        <v>0</v>
      </c>
      <c r="O3" s="15" t="n">
        <v>0</v>
      </c>
      <c r="P3" s="7" t="s">
        <v>428</v>
      </c>
      <c r="Q3" s="7" t="s">
        <v>435</v>
      </c>
      <c r="R3" s="15" t="n">
        <v>35.1</v>
      </c>
      <c r="S3" s="15" t="n">
        <v>8715</v>
      </c>
      <c r="T3" s="15" t="n">
        <v>1868</v>
      </c>
      <c r="U3" s="15" t="n">
        <v>1722</v>
      </c>
      <c r="V3" s="15" t="n">
        <v>5125</v>
      </c>
      <c r="W3" s="15" t="s">
        <v>430</v>
      </c>
      <c r="X3" s="15" t="n">
        <f aca="false">IF(终稿打分!E3="","",终稿打分!E3)</f>
        <v>3</v>
      </c>
      <c r="Y3" s="15" t="n">
        <f aca="false">IF(终稿打分!F3="","",终稿打分!F3)</f>
        <v>3</v>
      </c>
      <c r="Z3" s="15" t="n">
        <f aca="false">IF(终稿打分!G3="","",终稿打分!G3)</f>
        <v>3</v>
      </c>
      <c r="AA3" s="15" t="n">
        <f aca="false">IF(终稿打分!H3="","",终稿打分!H3)</f>
        <v>3</v>
      </c>
      <c r="AB3" s="15" t="n">
        <f aca="false">IF(终稿打分!I3="","",终稿打分!I3)</f>
        <v>3</v>
      </c>
      <c r="AC3" s="10" t="str">
        <f aca="false">IF(COUNT(X3:AB3)&lt;5,"",IF(OR(X3=1,Y3=1,Z3=1,AA3=1),"重写",IF(COUNTIF(X3:AB3,3)=5,"直接用","小改")))</f>
        <v>直接用</v>
      </c>
      <c r="AD3" s="15" t="str">
        <f aca="false">IF(终稿打分!K3="","",终稿打分!K3)</f>
        <v/>
      </c>
    </row>
    <row r="4" customFormat="false" ht="27.75" hidden="false" customHeight="true" outlineLevel="0" collapsed="false">
      <c r="A4" s="15" t="s">
        <v>46</v>
      </c>
      <c r="B4" s="15" t="s">
        <v>290</v>
      </c>
      <c r="C4" s="7" t="s">
        <v>47</v>
      </c>
      <c r="D4" s="7" t="s">
        <v>425</v>
      </c>
      <c r="E4" s="7" t="s">
        <v>426</v>
      </c>
      <c r="F4" s="15" t="s">
        <v>356</v>
      </c>
      <c r="G4" s="15" t="n">
        <v>7</v>
      </c>
      <c r="H4" s="15" t="n">
        <v>7</v>
      </c>
      <c r="I4" s="15" t="n">
        <v>0</v>
      </c>
      <c r="J4" s="15" t="n">
        <v>1</v>
      </c>
      <c r="K4" s="7" t="s">
        <v>299</v>
      </c>
      <c r="L4" s="15" t="n">
        <v>3</v>
      </c>
      <c r="M4" s="7" t="s">
        <v>436</v>
      </c>
      <c r="N4" s="15" t="n">
        <v>0</v>
      </c>
      <c r="O4" s="15" t="n">
        <v>0</v>
      </c>
      <c r="P4" s="7" t="s">
        <v>428</v>
      </c>
      <c r="Q4" s="15"/>
      <c r="R4" s="15" t="n">
        <v>22.5</v>
      </c>
      <c r="S4" s="15" t="n">
        <v>6532</v>
      </c>
      <c r="T4" s="15" t="n">
        <v>1548</v>
      </c>
      <c r="U4" s="15" t="n">
        <v>1267</v>
      </c>
      <c r="V4" s="15" t="n">
        <v>3717</v>
      </c>
      <c r="W4" s="15" t="s">
        <v>430</v>
      </c>
      <c r="X4" s="15" t="n">
        <f aca="false">IF(终稿打分!E4="","",终稿打分!E4)</f>
        <v>3</v>
      </c>
      <c r="Y4" s="15" t="n">
        <f aca="false">IF(终稿打分!F4="","",终稿打分!F4)</f>
        <v>3</v>
      </c>
      <c r="Z4" s="15" t="n">
        <f aca="false">IF(终稿打分!G4="","",终稿打分!G4)</f>
        <v>3</v>
      </c>
      <c r="AA4" s="15" t="n">
        <f aca="false">IF(终稿打分!H4="","",终稿打分!H4)</f>
        <v>3</v>
      </c>
      <c r="AB4" s="15" t="n">
        <f aca="false">IF(终稿打分!I4="","",终稿打分!I4)</f>
        <v>2</v>
      </c>
      <c r="AC4" s="10" t="str">
        <f aca="false">IF(COUNT(X4:AB4)&lt;5,"",IF(OR(X4=1,Y4=1,Z4=1,AA4=1),"重写",IF(COUNTIF(X4:AB4,3)=5,"直接用","小改")))</f>
        <v>小改</v>
      </c>
      <c r="AD4" s="15" t="str">
        <f aca="false">IF(终稿打分!K4="","",终稿打分!K4)</f>
        <v>图一场景对不上每片 100 毫克的卖点</v>
      </c>
    </row>
    <row r="5" customFormat="false" ht="27.75" hidden="false" customHeight="true" outlineLevel="0" collapsed="false">
      <c r="A5" s="15" t="s">
        <v>50</v>
      </c>
      <c r="B5" s="15" t="s">
        <v>176</v>
      </c>
      <c r="C5" s="7" t="s">
        <v>39</v>
      </c>
      <c r="D5" s="7" t="s">
        <v>437</v>
      </c>
      <c r="E5" s="7" t="s">
        <v>432</v>
      </c>
      <c r="F5" s="7" t="s">
        <v>438</v>
      </c>
      <c r="G5" s="15" t="n">
        <v>7</v>
      </c>
      <c r="H5" s="15" t="n">
        <v>7</v>
      </c>
      <c r="I5" s="15" t="n">
        <v>0</v>
      </c>
      <c r="J5" s="15" t="n">
        <v>0</v>
      </c>
      <c r="K5" s="7" t="s">
        <v>439</v>
      </c>
      <c r="L5" s="15" t="n">
        <v>1</v>
      </c>
      <c r="M5" s="7" t="s">
        <v>440</v>
      </c>
      <c r="N5" s="15" t="n">
        <v>0</v>
      </c>
      <c r="O5" s="15" t="n">
        <v>0</v>
      </c>
      <c r="P5" s="7" t="s">
        <v>428</v>
      </c>
      <c r="Q5" s="7" t="s">
        <v>441</v>
      </c>
      <c r="R5" s="15" t="n">
        <v>34.4</v>
      </c>
      <c r="S5" s="15" t="n">
        <v>8453</v>
      </c>
      <c r="T5" s="15" t="n">
        <v>1769</v>
      </c>
      <c r="U5" s="15" t="n">
        <v>2099</v>
      </c>
      <c r="V5" s="15" t="n">
        <v>4585</v>
      </c>
      <c r="W5" s="15" t="s">
        <v>430</v>
      </c>
      <c r="X5" s="15" t="n">
        <f aca="false">IF(终稿打分!E5="","",终稿打分!E5)</f>
        <v>3</v>
      </c>
      <c r="Y5" s="15" t="n">
        <f aca="false">IF(终稿打分!F5="","",终稿打分!F5)</f>
        <v>3</v>
      </c>
      <c r="Z5" s="15" t="n">
        <f aca="false">IF(终稿打分!G5="","",终稿打分!G5)</f>
        <v>3</v>
      </c>
      <c r="AA5" s="15" t="n">
        <f aca="false">IF(终稿打分!H5="","",终稿打分!H5)</f>
        <v>3</v>
      </c>
      <c r="AB5" s="15" t="n">
        <f aca="false">IF(终稿打分!I5="","",终稿打分!I5)</f>
        <v>3</v>
      </c>
      <c r="AC5" s="10" t="str">
        <f aca="false">IF(COUNT(X5:AB5)&lt;5,"",IF(OR(X5=1,Y5=1,Z5=1,AA5=1),"重写",IF(COUNTIF(X5:AB5,3)=5,"直接用","小改")))</f>
        <v>直接用</v>
      </c>
      <c r="AD5" s="15" t="str">
        <f aca="false">IF(终稿打分!K5="","",终稿打分!K5)</f>
        <v/>
      </c>
    </row>
    <row r="6" customFormat="false" ht="27.75" hidden="false" customHeight="true" outlineLevel="0" collapsed="false">
      <c r="A6" s="15" t="s">
        <v>53</v>
      </c>
      <c r="B6" s="15" t="s">
        <v>176</v>
      </c>
      <c r="C6" s="7" t="s">
        <v>44</v>
      </c>
      <c r="D6" s="7" t="s">
        <v>425</v>
      </c>
      <c r="E6" s="7" t="s">
        <v>426</v>
      </c>
      <c r="F6" s="15" t="s">
        <v>356</v>
      </c>
      <c r="G6" s="15" t="n">
        <v>7</v>
      </c>
      <c r="H6" s="15" t="n">
        <v>7</v>
      </c>
      <c r="I6" s="15" t="n">
        <v>0</v>
      </c>
      <c r="J6" s="15" t="n">
        <v>0</v>
      </c>
      <c r="K6" s="7" t="s">
        <v>439</v>
      </c>
      <c r="L6" s="15" t="n">
        <v>3</v>
      </c>
      <c r="M6" s="7" t="s">
        <v>442</v>
      </c>
      <c r="N6" s="15" t="n">
        <v>0</v>
      </c>
      <c r="O6" s="15" t="n">
        <v>0</v>
      </c>
      <c r="P6" s="7" t="s">
        <v>428</v>
      </c>
      <c r="Q6" s="7" t="s">
        <v>443</v>
      </c>
      <c r="R6" s="15" t="n">
        <v>46.6</v>
      </c>
      <c r="S6" s="15" t="n">
        <v>10758</v>
      </c>
      <c r="T6" s="15" t="n">
        <v>2102</v>
      </c>
      <c r="U6" s="15" t="n">
        <v>2161</v>
      </c>
      <c r="V6" s="15" t="n">
        <v>6495</v>
      </c>
      <c r="W6" s="15" t="s">
        <v>444</v>
      </c>
      <c r="X6" s="15" t="n">
        <f aca="false">IF(终稿打分!E6="","",终稿打分!E6)</f>
        <v>1</v>
      </c>
      <c r="Y6" s="15" t="n">
        <f aca="false">IF(终稿打分!F6="","",终稿打分!F6)</f>
        <v>3</v>
      </c>
      <c r="Z6" s="15" t="n">
        <f aca="false">IF(终稿打分!G6="","",终稿打分!G6)</f>
        <v>3</v>
      </c>
      <c r="AA6" s="15" t="n">
        <f aca="false">IF(终稿打分!H6="","",终稿打分!H6)</f>
        <v>3</v>
      </c>
      <c r="AB6" s="15" t="n">
        <f aca="false">IF(终稿打分!I6="","",终稿打分!I6)</f>
        <v>3</v>
      </c>
      <c r="AC6" s="10" t="str">
        <f aca="false">IF(COUNT(X6:AB6)&lt;5,"",IF(OR(X6=1,Y6=1,Z6=1,AA6=1),"重写",IF(COUNTIF(X6:AB6,3)=5,"直接用","小改")))</f>
        <v>重写</v>
      </c>
      <c r="AD6" s="15" t="str">
        <f aca="false">IF(终稿打分!K6="","",终稿打分!K6)</f>
        <v>资料表没写罐身有英文标识</v>
      </c>
    </row>
    <row r="7" customFormat="false" ht="27.75" hidden="false" customHeight="true" outlineLevel="0" collapsed="false">
      <c r="A7" s="15" t="s">
        <v>56</v>
      </c>
      <c r="B7" s="15" t="s">
        <v>176</v>
      </c>
      <c r="C7" s="7" t="s">
        <v>47</v>
      </c>
      <c r="D7" s="7" t="s">
        <v>445</v>
      </c>
      <c r="E7" s="7" t="s">
        <v>432</v>
      </c>
      <c r="F7" s="7" t="s">
        <v>446</v>
      </c>
      <c r="G7" s="15" t="n">
        <v>7</v>
      </c>
      <c r="H7" s="15" t="n">
        <v>7</v>
      </c>
      <c r="I7" s="15" t="n">
        <v>0</v>
      </c>
      <c r="J7" s="15" t="n">
        <v>0</v>
      </c>
      <c r="K7" s="7" t="s">
        <v>439</v>
      </c>
      <c r="L7" s="15" t="n">
        <v>1</v>
      </c>
      <c r="M7" s="7" t="s">
        <v>447</v>
      </c>
      <c r="N7" s="15" t="n">
        <v>0</v>
      </c>
      <c r="O7" s="15" t="n">
        <v>0</v>
      </c>
      <c r="P7" s="7" t="s">
        <v>428</v>
      </c>
      <c r="Q7" s="7" t="s">
        <v>448</v>
      </c>
      <c r="R7" s="15" t="n">
        <v>32.8</v>
      </c>
      <c r="S7" s="15" t="n">
        <v>8405</v>
      </c>
      <c r="T7" s="15" t="n">
        <v>1943</v>
      </c>
      <c r="U7" s="15" t="n">
        <v>2233</v>
      </c>
      <c r="V7" s="15" t="n">
        <v>4229</v>
      </c>
      <c r="W7" s="15" t="s">
        <v>449</v>
      </c>
      <c r="X7" s="15" t="n">
        <f aca="false">IF(终稿打分!E7="","",终稿打分!E7)</f>
        <v>3</v>
      </c>
      <c r="Y7" s="15" t="n">
        <f aca="false">IF(终稿打分!F7="","",终稿打分!F7)</f>
        <v>3</v>
      </c>
      <c r="Z7" s="15" t="n">
        <f aca="false">IF(终稿打分!G7="","",终稿打分!G7)</f>
        <v>3</v>
      </c>
      <c r="AA7" s="15" t="n">
        <f aca="false">IF(终稿打分!H7="","",终稿打分!H7)</f>
        <v>3</v>
      </c>
      <c r="AB7" s="15" t="n">
        <f aca="false">IF(终稿打分!I7="","",终稿打分!I7)</f>
        <v>3</v>
      </c>
      <c r="AC7" s="10" t="str">
        <f aca="false">IF(COUNT(X7:AB7)&lt;5,"",IF(OR(X7=1,Y7=1,Z7=1,AA7=1),"重写",IF(COUNTIF(X7:AB7,3)=5,"直接用","小改")))</f>
        <v>直接用</v>
      </c>
      <c r="AD7" s="15" t="str">
        <f aca="false">IF(终稿打分!K7="","",终稿打分!K7)</f>
        <v/>
      </c>
    </row>
    <row r="8" customFormat="false" ht="27.75" hidden="false" customHeight="true" outlineLevel="0" collapsed="false">
      <c r="A8" s="15" t="s">
        <v>58</v>
      </c>
      <c r="B8" s="15" t="s">
        <v>316</v>
      </c>
      <c r="C8" s="7" t="s">
        <v>39</v>
      </c>
      <c r="D8" s="7" t="s">
        <v>425</v>
      </c>
      <c r="E8" s="7" t="s">
        <v>426</v>
      </c>
      <c r="F8" s="15" t="s">
        <v>356</v>
      </c>
      <c r="G8" s="15" t="n">
        <v>7</v>
      </c>
      <c r="H8" s="15" t="n">
        <v>7</v>
      </c>
      <c r="I8" s="15" t="n">
        <v>0</v>
      </c>
      <c r="J8" s="15" t="n">
        <v>1</v>
      </c>
      <c r="K8" s="7" t="s">
        <v>299</v>
      </c>
      <c r="L8" s="15" t="n">
        <v>3</v>
      </c>
      <c r="M8" s="7" t="s">
        <v>450</v>
      </c>
      <c r="N8" s="15" t="n">
        <v>0</v>
      </c>
      <c r="O8" s="15" t="n">
        <v>0</v>
      </c>
      <c r="P8" s="7" t="s">
        <v>428</v>
      </c>
      <c r="Q8" s="15"/>
      <c r="R8" s="15" t="n">
        <v>30.7</v>
      </c>
      <c r="S8" s="15" t="n">
        <v>7606</v>
      </c>
      <c r="T8" s="15" t="n">
        <v>1929</v>
      </c>
      <c r="U8" s="15" t="n">
        <v>2485</v>
      </c>
      <c r="V8" s="15" t="n">
        <v>3192</v>
      </c>
      <c r="W8" s="15" t="s">
        <v>451</v>
      </c>
      <c r="X8" s="15" t="n">
        <f aca="false">IF(终稿打分!E8="","",终稿打分!E8)</f>
        <v>3</v>
      </c>
      <c r="Y8" s="15" t="n">
        <f aca="false">IF(终稿打分!F8="","",终稿打分!F8)</f>
        <v>3</v>
      </c>
      <c r="Z8" s="15" t="n">
        <f aca="false">IF(终稿打分!G8="","",终稿打分!G8)</f>
        <v>3</v>
      </c>
      <c r="AA8" s="15" t="n">
        <f aca="false">IF(终稿打分!H8="","",终稿打分!H8)</f>
        <v>3</v>
      </c>
      <c r="AB8" s="15" t="n">
        <f aca="false">IF(终稿打分!I8="","",终稿打分!I8)</f>
        <v>3</v>
      </c>
      <c r="AC8" s="10" t="str">
        <f aca="false">IF(COUNT(X8:AB8)&lt;5,"",IF(OR(X8=1,Y8=1,Z8=1,AA8=1),"重写",IF(COUNTIF(X8:AB8,3)=5,"直接用","小改")))</f>
        <v>直接用</v>
      </c>
      <c r="AD8" s="15" t="str">
        <f aca="false">IF(终稿打分!K8="","",终稿打分!K8)</f>
        <v/>
      </c>
    </row>
    <row r="9" customFormat="false" ht="42" hidden="false" customHeight="true" outlineLevel="0" collapsed="false">
      <c r="A9" s="15" t="s">
        <v>61</v>
      </c>
      <c r="B9" s="15" t="s">
        <v>316</v>
      </c>
      <c r="C9" s="7" t="s">
        <v>44</v>
      </c>
      <c r="D9" s="7" t="s">
        <v>452</v>
      </c>
      <c r="E9" s="7" t="s">
        <v>432</v>
      </c>
      <c r="F9" s="7" t="s">
        <v>453</v>
      </c>
      <c r="G9" s="15" t="n">
        <v>7</v>
      </c>
      <c r="H9" s="15" t="n">
        <v>7</v>
      </c>
      <c r="I9" s="15" t="n">
        <v>0</v>
      </c>
      <c r="J9" s="15" t="n">
        <v>1</v>
      </c>
      <c r="K9" s="7" t="s">
        <v>299</v>
      </c>
      <c r="L9" s="15" t="n">
        <v>5</v>
      </c>
      <c r="M9" s="7" t="s">
        <v>454</v>
      </c>
      <c r="N9" s="15" t="n">
        <v>0</v>
      </c>
      <c r="O9" s="15" t="n">
        <v>0</v>
      </c>
      <c r="P9" s="7" t="s">
        <v>428</v>
      </c>
      <c r="Q9" s="7" t="s">
        <v>455</v>
      </c>
      <c r="R9" s="15" t="n">
        <v>60.7</v>
      </c>
      <c r="S9" s="15" t="n">
        <v>13169</v>
      </c>
      <c r="T9" s="15" t="n">
        <v>2080</v>
      </c>
      <c r="U9" s="15" t="n">
        <v>2111</v>
      </c>
      <c r="V9" s="15" t="n">
        <v>8978</v>
      </c>
      <c r="W9" s="15" t="s">
        <v>456</v>
      </c>
      <c r="X9" s="15" t="n">
        <f aca="false">IF(终稿打分!E9="","",终稿打分!E9)</f>
        <v>3</v>
      </c>
      <c r="Y9" s="15" t="n">
        <f aca="false">IF(终稿打分!F9="","",终稿打分!F9)</f>
        <v>3</v>
      </c>
      <c r="Z9" s="15" t="n">
        <f aca="false">IF(终稿打分!G9="","",终稿打分!G9)</f>
        <v>3</v>
      </c>
      <c r="AA9" s="15" t="n">
        <f aca="false">IF(终稿打分!H9="","",终稿打分!H9)</f>
        <v>3</v>
      </c>
      <c r="AB9" s="15" t="n">
        <f aca="false">IF(终稿打分!I9="","",终稿打分!I9)</f>
        <v>2</v>
      </c>
      <c r="AC9" s="10" t="str">
        <f aca="false">IF(COUNT(X9:AB9)&lt;5,"",IF(OR(X9=1,Y9=1,Z9=1,AA9=1),"重写",IF(COUNTIF(X9:AB9,3)=5,"直接用","小改")))</f>
        <v>小改</v>
      </c>
      <c r="AD9" s="15" t="str">
        <f aca="false">IF(终稿打分!K9="","",终稿打分!K9)</f>
        <v>主图需求单里写每粒 50 毫克，但资料显示商品参数是每粒含辅酶 Q10 50 毫克，规格是 0.5 克
【Claude 复核，改为 ①3 ⑤2】正文「每粒含辅酶Q10 50mg」和参1 一致，信息是对的；问题在主图文案缩写成「每粒50mg」，容易被看成胶囊重 50mg（实际 0.5g），属于主图文案有歧义，和 G15「每瓶5000mg」同一类，扣在⑤。</v>
      </c>
    </row>
    <row r="10" customFormat="false" ht="27.75" hidden="false" customHeight="true" outlineLevel="0" collapsed="false">
      <c r="A10" s="15" t="s">
        <v>64</v>
      </c>
      <c r="B10" s="15" t="s">
        <v>316</v>
      </c>
      <c r="C10" s="7" t="s">
        <v>47</v>
      </c>
      <c r="D10" s="7" t="s">
        <v>457</v>
      </c>
      <c r="E10" s="7" t="s">
        <v>432</v>
      </c>
      <c r="F10" s="7" t="s">
        <v>458</v>
      </c>
      <c r="G10" s="15" t="n">
        <v>7</v>
      </c>
      <c r="H10" s="15" t="n">
        <v>7</v>
      </c>
      <c r="I10" s="15" t="n">
        <v>0</v>
      </c>
      <c r="J10" s="15" t="n">
        <v>1</v>
      </c>
      <c r="K10" s="7" t="s">
        <v>299</v>
      </c>
      <c r="L10" s="15" t="n">
        <v>3</v>
      </c>
      <c r="M10" s="7" t="s">
        <v>459</v>
      </c>
      <c r="N10" s="15" t="n">
        <v>0</v>
      </c>
      <c r="O10" s="15" t="n">
        <v>0</v>
      </c>
      <c r="P10" s="7" t="s">
        <v>428</v>
      </c>
      <c r="Q10" s="7" t="s">
        <v>460</v>
      </c>
      <c r="R10" s="15" t="n">
        <v>41.4</v>
      </c>
      <c r="S10" s="15" t="n">
        <v>9455</v>
      </c>
      <c r="T10" s="15" t="n">
        <v>1645</v>
      </c>
      <c r="U10" s="15" t="n">
        <v>3318</v>
      </c>
      <c r="V10" s="15" t="n">
        <v>4492</v>
      </c>
      <c r="W10" s="15" t="s">
        <v>461</v>
      </c>
      <c r="X10" s="15" t="n">
        <f aca="false">IF(终稿打分!E10="","",终稿打分!E10)</f>
        <v>3</v>
      </c>
      <c r="Y10" s="15" t="n">
        <f aca="false">IF(终稿打分!F10="","",终稿打分!F10)</f>
        <v>2</v>
      </c>
      <c r="Z10" s="15" t="n">
        <f aca="false">IF(终稿打分!G10="","",终稿打分!G10)</f>
        <v>3</v>
      </c>
      <c r="AA10" s="15" t="n">
        <f aca="false">IF(终稿打分!H10="","",终稿打分!H10)</f>
        <v>3</v>
      </c>
      <c r="AB10" s="15" t="n">
        <f aca="false">IF(终稿打分!I10="","",终稿打分!I10)</f>
        <v>3</v>
      </c>
      <c r="AC10" s="10" t="str">
        <f aca="false">IF(COUNT(X10:AB10)&lt;5,"",IF(OR(X10=1,Y10=1,Z10=1,AA10=1),"重写",IF(COUNTIF(X10:AB10,3)=5,"直接用","小改")))</f>
        <v>小改</v>
      </c>
      <c r="AD10" s="15" t="str">
        <f aca="false">IF(终稿打分!K10="","",终稿打分!K10)</f>
        <v>国食健注 G20990003 在商品资料里没找到，而且这一条有点像说明书
【Claude 复核，改为 ①3】批准文号在 Dify 给模型的资料里有，是我整理 Excel 时漏放了（已补进第 4 列和「商品资料」页），所以不算编造。「像说明书」扣在②或④都可以，保留你的②2。</v>
      </c>
    </row>
    <row r="11" customFormat="false" ht="27.75" hidden="false" customHeight="true" outlineLevel="0" collapsed="false">
      <c r="A11" s="15" t="s">
        <v>67</v>
      </c>
      <c r="B11" s="15" t="s">
        <v>225</v>
      </c>
      <c r="C11" s="7" t="s">
        <v>39</v>
      </c>
      <c r="D11" s="7" t="s">
        <v>462</v>
      </c>
      <c r="E11" s="7" t="s">
        <v>432</v>
      </c>
      <c r="F11" s="7" t="s">
        <v>463</v>
      </c>
      <c r="G11" s="15" t="n">
        <v>7</v>
      </c>
      <c r="H11" s="15" t="n">
        <v>7</v>
      </c>
      <c r="I11" s="15" t="n">
        <v>0</v>
      </c>
      <c r="J11" s="15" t="n">
        <v>0</v>
      </c>
      <c r="K11" s="7" t="s">
        <v>439</v>
      </c>
      <c r="L11" s="15" t="n">
        <v>0</v>
      </c>
      <c r="M11" s="7" t="s">
        <v>464</v>
      </c>
      <c r="N11" s="15" t="n">
        <v>0</v>
      </c>
      <c r="O11" s="15" t="n">
        <v>0</v>
      </c>
      <c r="P11" s="7" t="s">
        <v>428</v>
      </c>
      <c r="Q11" s="15" t="s">
        <v>465</v>
      </c>
      <c r="R11" s="15" t="n">
        <v>37.3</v>
      </c>
      <c r="S11" s="15" t="n">
        <v>8459</v>
      </c>
      <c r="T11" s="15" t="n">
        <v>1831</v>
      </c>
      <c r="U11" s="15" t="n">
        <v>2068</v>
      </c>
      <c r="V11" s="15" t="n">
        <v>4560</v>
      </c>
      <c r="W11" s="15" t="s">
        <v>466</v>
      </c>
      <c r="X11" s="15" t="n">
        <f aca="false">IF(终稿打分!E11="","",终稿打分!E11)</f>
        <v>3</v>
      </c>
      <c r="Y11" s="15" t="n">
        <f aca="false">IF(终稿打分!F11="","",终稿打分!F11)</f>
        <v>3</v>
      </c>
      <c r="Z11" s="15" t="n">
        <f aca="false">IF(终稿打分!G11="","",终稿打分!G11)</f>
        <v>3</v>
      </c>
      <c r="AA11" s="15" t="n">
        <f aca="false">IF(终稿打分!H11="","",终稿打分!H11)</f>
        <v>3</v>
      </c>
      <c r="AB11" s="15" t="n">
        <f aca="false">IF(终稿打分!I11="","",终稿打分!I11)</f>
        <v>3</v>
      </c>
      <c r="AC11" s="10" t="str">
        <f aca="false">IF(COUNT(X11:AB11)&lt;5,"",IF(OR(X11=1,Y11=1,Z11=1,AA11=1),"重写",IF(COUNTIF(X11:AB11,3)=5,"直接用","小改")))</f>
        <v>直接用</v>
      </c>
      <c r="AD11" s="15" t="str">
        <f aca="false">IF(终稿打分!K11="","",终稿打分!K11)</f>
        <v/>
      </c>
    </row>
    <row r="12" customFormat="false" ht="27.75" hidden="false" customHeight="true" outlineLevel="0" collapsed="false">
      <c r="A12" s="15" t="s">
        <v>70</v>
      </c>
      <c r="B12" s="15" t="s">
        <v>225</v>
      </c>
      <c r="C12" s="7" t="s">
        <v>44</v>
      </c>
      <c r="D12" s="7" t="s">
        <v>425</v>
      </c>
      <c r="E12" s="7" t="s">
        <v>426</v>
      </c>
      <c r="F12" s="15" t="s">
        <v>356</v>
      </c>
      <c r="G12" s="15" t="n">
        <v>7</v>
      </c>
      <c r="H12" s="15" t="n">
        <v>7</v>
      </c>
      <c r="I12" s="15" t="n">
        <v>0</v>
      </c>
      <c r="J12" s="15" t="n">
        <v>0</v>
      </c>
      <c r="K12" s="7" t="s">
        <v>439</v>
      </c>
      <c r="L12" s="15" t="n">
        <v>1</v>
      </c>
      <c r="M12" s="7" t="s">
        <v>467</v>
      </c>
      <c r="N12" s="15" t="n">
        <v>0</v>
      </c>
      <c r="O12" s="15" t="n">
        <v>0</v>
      </c>
      <c r="P12" s="7" t="s">
        <v>428</v>
      </c>
      <c r="Q12" s="7" t="s">
        <v>468</v>
      </c>
      <c r="R12" s="15" t="n">
        <v>62.9</v>
      </c>
      <c r="S12" s="15" t="n">
        <v>13888</v>
      </c>
      <c r="T12" s="15" t="n">
        <v>1969</v>
      </c>
      <c r="U12" s="15" t="n">
        <v>6350</v>
      </c>
      <c r="V12" s="15" t="n">
        <v>5569</v>
      </c>
      <c r="W12" s="15" t="s">
        <v>469</v>
      </c>
      <c r="X12" s="15" t="n">
        <f aca="false">IF(终稿打分!E12="","",终稿打分!E12)</f>
        <v>3</v>
      </c>
      <c r="Y12" s="15" t="n">
        <f aca="false">IF(终稿打分!F12="","",终稿打分!F12)</f>
        <v>3</v>
      </c>
      <c r="Z12" s="15" t="n">
        <f aca="false">IF(终稿打分!G12="","",终稿打分!G12)</f>
        <v>3</v>
      </c>
      <c r="AA12" s="15" t="n">
        <f aca="false">IF(终稿打分!H12="","",终稿打分!H12)</f>
        <v>3</v>
      </c>
      <c r="AB12" s="15" t="n">
        <f aca="false">IF(终稿打分!I12="","",终稿打分!I12)</f>
        <v>3</v>
      </c>
      <c r="AC12" s="10" t="str">
        <f aca="false">IF(COUNT(X12:AB12)&lt;5,"",IF(OR(X12=1,Y12=1,Z12=1,AA12=1),"重写",IF(COUNTIF(X12:AB12,3)=5,"直接用","小改")))</f>
        <v>直接用</v>
      </c>
      <c r="AD12" s="15" t="str">
        <f aca="false">IF(终稿打分!K12="","",终稿打分!K12)</f>
        <v/>
      </c>
    </row>
    <row r="13" customFormat="false" ht="27.75" hidden="false" customHeight="true" outlineLevel="0" collapsed="false">
      <c r="A13" s="15" t="s">
        <v>72</v>
      </c>
      <c r="B13" s="15" t="s">
        <v>225</v>
      </c>
      <c r="C13" s="7" t="s">
        <v>47</v>
      </c>
      <c r="D13" s="7" t="s">
        <v>425</v>
      </c>
      <c r="E13" s="7" t="s">
        <v>426</v>
      </c>
      <c r="F13" s="15" t="s">
        <v>356</v>
      </c>
      <c r="G13" s="15" t="n">
        <v>7</v>
      </c>
      <c r="H13" s="15" t="n">
        <v>7</v>
      </c>
      <c r="I13" s="15" t="n">
        <v>0</v>
      </c>
      <c r="J13" s="15" t="n">
        <v>0</v>
      </c>
      <c r="K13" s="7" t="s">
        <v>439</v>
      </c>
      <c r="L13" s="15" t="n">
        <v>1</v>
      </c>
      <c r="M13" s="7" t="s">
        <v>470</v>
      </c>
      <c r="N13" s="15" t="n">
        <v>0</v>
      </c>
      <c r="O13" s="15" t="n">
        <v>0</v>
      </c>
      <c r="P13" s="7" t="s">
        <v>428</v>
      </c>
      <c r="Q13" s="15"/>
      <c r="R13" s="15" t="n">
        <v>32.3</v>
      </c>
      <c r="S13" s="15" t="n">
        <v>8237</v>
      </c>
      <c r="T13" s="15" t="n">
        <v>1628</v>
      </c>
      <c r="U13" s="15" t="n">
        <v>2354</v>
      </c>
      <c r="V13" s="15" t="n">
        <v>4255</v>
      </c>
      <c r="W13" s="15" t="s">
        <v>471</v>
      </c>
      <c r="X13" s="15" t="n">
        <f aca="false">IF(终稿打分!E13="","",终稿打分!E13)</f>
        <v>3</v>
      </c>
      <c r="Y13" s="15" t="n">
        <f aca="false">IF(终稿打分!F13="","",终稿打分!F13)</f>
        <v>3</v>
      </c>
      <c r="Z13" s="15" t="n">
        <f aca="false">IF(终稿打分!G13="","",终稿打分!G13)</f>
        <v>3</v>
      </c>
      <c r="AA13" s="15" t="n">
        <f aca="false">IF(终稿打分!H13="","",终稿打分!H13)</f>
        <v>3</v>
      </c>
      <c r="AB13" s="15" t="n">
        <f aca="false">IF(终稿打分!I13="","",终稿打分!I13)</f>
        <v>3</v>
      </c>
      <c r="AC13" s="10" t="str">
        <f aca="false">IF(COUNT(X13:AB13)&lt;5,"",IF(OR(X13=1,Y13=1,Z13=1,AA13=1),"重写",IF(COUNTIF(X13:AB13,3)=5,"直接用","小改")))</f>
        <v>直接用</v>
      </c>
      <c r="AD13" s="15" t="str">
        <f aca="false">IF(终稿打分!K13="","",终稿打分!K13)</f>
        <v/>
      </c>
    </row>
    <row r="14" customFormat="false" ht="27.75" hidden="false" customHeight="true" outlineLevel="0" collapsed="false">
      <c r="A14" s="15" t="s">
        <v>74</v>
      </c>
      <c r="B14" s="15" t="s">
        <v>261</v>
      </c>
      <c r="C14" s="7" t="s">
        <v>39</v>
      </c>
      <c r="D14" s="7" t="s">
        <v>472</v>
      </c>
      <c r="E14" s="7" t="s">
        <v>432</v>
      </c>
      <c r="F14" s="7" t="s">
        <v>473</v>
      </c>
      <c r="G14" s="15" t="n">
        <v>7</v>
      </c>
      <c r="H14" s="15" t="n">
        <v>7</v>
      </c>
      <c r="I14" s="15" t="n">
        <v>0</v>
      </c>
      <c r="J14" s="15" t="n">
        <v>0</v>
      </c>
      <c r="K14" s="7" t="s">
        <v>439</v>
      </c>
      <c r="L14" s="15" t="n">
        <v>0</v>
      </c>
      <c r="M14" s="7" t="s">
        <v>464</v>
      </c>
      <c r="N14" s="15" t="n">
        <v>0</v>
      </c>
      <c r="O14" s="15" t="n">
        <v>0</v>
      </c>
      <c r="P14" s="7" t="s">
        <v>428</v>
      </c>
      <c r="Q14" s="7" t="s">
        <v>474</v>
      </c>
      <c r="R14" s="15" t="n">
        <v>41.5</v>
      </c>
      <c r="S14" s="15" t="n">
        <v>9151</v>
      </c>
      <c r="T14" s="15" t="n">
        <v>1379</v>
      </c>
      <c r="U14" s="15" t="n">
        <v>2580</v>
      </c>
      <c r="V14" s="15" t="n">
        <v>5192</v>
      </c>
      <c r="W14" s="15" t="s">
        <v>475</v>
      </c>
      <c r="X14" s="15" t="n">
        <f aca="false">IF(终稿打分!E14="","",终稿打分!E14)</f>
        <v>3</v>
      </c>
      <c r="Y14" s="15" t="n">
        <f aca="false">IF(终稿打分!F14="","",终稿打分!F14)</f>
        <v>3</v>
      </c>
      <c r="Z14" s="15" t="n">
        <f aca="false">IF(终稿打分!G14="","",终稿打分!G14)</f>
        <v>3</v>
      </c>
      <c r="AA14" s="15" t="n">
        <f aca="false">IF(终稿打分!H14="","",终稿打分!H14)</f>
        <v>3</v>
      </c>
      <c r="AB14" s="15" t="n">
        <f aca="false">IF(终稿打分!I14="","",终稿打分!I14)</f>
        <v>3</v>
      </c>
      <c r="AC14" s="10" t="str">
        <f aca="false">IF(COUNT(X14:AB14)&lt;5,"",IF(OR(X14=1,Y14=1,Z14=1,AA14=1),"重写",IF(COUNTIF(X14:AB14,3)=5,"直接用","小改")))</f>
        <v>直接用</v>
      </c>
      <c r="AD14" s="15" t="str">
        <f aca="false">IF(终稿打分!K14="","",终稿打分!K14)</f>
        <v/>
      </c>
    </row>
    <row r="15" customFormat="false" ht="27.75" hidden="false" customHeight="true" outlineLevel="0" collapsed="false">
      <c r="A15" s="15" t="s">
        <v>77</v>
      </c>
      <c r="B15" s="15" t="s">
        <v>261</v>
      </c>
      <c r="C15" s="7" t="s">
        <v>44</v>
      </c>
      <c r="D15" s="7" t="s">
        <v>476</v>
      </c>
      <c r="E15" s="7" t="s">
        <v>432</v>
      </c>
      <c r="F15" s="7" t="s">
        <v>477</v>
      </c>
      <c r="G15" s="15" t="n">
        <v>7</v>
      </c>
      <c r="H15" s="15" t="n">
        <v>7</v>
      </c>
      <c r="I15" s="15" t="n">
        <v>0</v>
      </c>
      <c r="J15" s="15" t="n">
        <v>0</v>
      </c>
      <c r="K15" s="7" t="s">
        <v>439</v>
      </c>
      <c r="L15" s="15" t="n">
        <v>2</v>
      </c>
      <c r="M15" s="7" t="s">
        <v>478</v>
      </c>
      <c r="N15" s="15" t="n">
        <v>0</v>
      </c>
      <c r="O15" s="15" t="n">
        <v>0</v>
      </c>
      <c r="P15" s="7" t="s">
        <v>428</v>
      </c>
      <c r="Q15" s="7" t="s">
        <v>479</v>
      </c>
      <c r="R15" s="15" t="n">
        <v>38.7</v>
      </c>
      <c r="S15" s="15" t="n">
        <v>9098</v>
      </c>
      <c r="T15" s="15" t="n">
        <v>1642</v>
      </c>
      <c r="U15" s="15" t="n">
        <v>1867</v>
      </c>
      <c r="V15" s="15" t="n">
        <v>5589</v>
      </c>
      <c r="W15" s="15" t="s">
        <v>480</v>
      </c>
      <c r="X15" s="15" t="n">
        <f aca="false">IF(终稿打分!E15="","",终稿打分!E15)</f>
        <v>3</v>
      </c>
      <c r="Y15" s="15" t="n">
        <f aca="false">IF(终稿打分!F15="","",终稿打分!F15)</f>
        <v>3</v>
      </c>
      <c r="Z15" s="15" t="n">
        <f aca="false">IF(终稿打分!G15="","",终稿打分!G15)</f>
        <v>3</v>
      </c>
      <c r="AA15" s="15" t="n">
        <f aca="false">IF(终稿打分!H15="","",终稿打分!H15)</f>
        <v>3</v>
      </c>
      <c r="AB15" s="15" t="n">
        <f aca="false">IF(终稿打分!I15="","",终稿打分!I15)</f>
        <v>3</v>
      </c>
      <c r="AC15" s="10" t="str">
        <f aca="false">IF(COUNT(X15:AB15)&lt;5,"",IF(OR(X15=1,Y15=1,Z15=1,AA15=1),"重写",IF(COUNTIF(X15:AB15,3)=5,"直接用","小改")))</f>
        <v>直接用</v>
      </c>
      <c r="AD15" s="15" t="str">
        <f aca="false">IF(终稿打分!K15="","",终稿打分!K15)</f>
        <v/>
      </c>
    </row>
    <row r="16" customFormat="false" ht="27.75" hidden="false" customHeight="true" outlineLevel="0" collapsed="false">
      <c r="A16" s="15" t="s">
        <v>79</v>
      </c>
      <c r="B16" s="15" t="s">
        <v>261</v>
      </c>
      <c r="C16" s="7" t="s">
        <v>47</v>
      </c>
      <c r="D16" s="7" t="s">
        <v>425</v>
      </c>
      <c r="E16" s="7" t="s">
        <v>426</v>
      </c>
      <c r="F16" s="15" t="s">
        <v>356</v>
      </c>
      <c r="G16" s="15" t="n">
        <v>7</v>
      </c>
      <c r="H16" s="15" t="n">
        <v>7</v>
      </c>
      <c r="I16" s="15" t="n">
        <v>0</v>
      </c>
      <c r="J16" s="15" t="n">
        <v>0</v>
      </c>
      <c r="K16" s="7" t="s">
        <v>439</v>
      </c>
      <c r="L16" s="15" t="n">
        <v>2</v>
      </c>
      <c r="M16" s="7" t="s">
        <v>481</v>
      </c>
      <c r="N16" s="15" t="n">
        <v>0</v>
      </c>
      <c r="O16" s="15" t="n">
        <v>0</v>
      </c>
      <c r="P16" s="7" t="s">
        <v>428</v>
      </c>
      <c r="Q16" s="15"/>
      <c r="R16" s="15" t="n">
        <v>40.2</v>
      </c>
      <c r="S16" s="15" t="n">
        <v>9856</v>
      </c>
      <c r="T16" s="15" t="n">
        <v>1647</v>
      </c>
      <c r="U16" s="15" t="n">
        <v>2723</v>
      </c>
      <c r="V16" s="15" t="n">
        <v>5486</v>
      </c>
      <c r="W16" s="15" t="s">
        <v>482</v>
      </c>
      <c r="X16" s="15" t="n">
        <f aca="false">IF(终稿打分!E16="","",终稿打分!E16)</f>
        <v>3</v>
      </c>
      <c r="Y16" s="15" t="n">
        <f aca="false">IF(终稿打分!F16="","",终稿打分!F16)</f>
        <v>3</v>
      </c>
      <c r="Z16" s="15" t="n">
        <f aca="false">IF(终稿打分!G16="","",终稿打分!G16)</f>
        <v>3</v>
      </c>
      <c r="AA16" s="15" t="n">
        <f aca="false">IF(终稿打分!H16="","",终稿打分!H16)</f>
        <v>3</v>
      </c>
      <c r="AB16" s="15" t="n">
        <f aca="false">IF(终稿打分!I16="","",终稿打分!I16)</f>
        <v>2</v>
      </c>
      <c r="AC16" s="10" t="str">
        <f aca="false">IF(COUNT(X16:AB16)&lt;5,"",IF(OR(X16=1,Y16=1,Z16=1,AA16=1),"重写",IF(COUNTIF(X16:AB16,3)=5,"直接用","小改")))</f>
        <v>小改</v>
      </c>
      <c r="AD16" s="15" t="str">
        <f aca="false">IF(终稿打分!K16="","",终稿打分!K16)</f>
        <v>主图需求单里面图一，“每瓶 5000 毫克”有歧义。产品参数是：每瓶 50 毫升，含胶原蛋白肽 5000 毫克</v>
      </c>
    </row>
    <row r="18" customFormat="false" ht="15" hidden="false" customHeight="true" outlineLevel="0" collapsed="false">
      <c r="A18" s="14" t="s">
        <v>483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customFormat="false" ht="15" hidden="false" customHeight="true" outlineLevel="0" collapsed="false">
      <c r="A19" s="6" t="s">
        <v>484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</sheetData>
  <mergeCells count="2">
    <mergeCell ref="A18:Q18"/>
    <mergeCell ref="A19:Q19"/>
  </mergeCells>
  <conditionalFormatting sqref="AC2:AC16">
    <cfRule type="cellIs" priority="2" operator="equal" aboveAverage="0" equalAverage="0" bottom="0" percent="0" rank="0" text="" dxfId="0">
      <formula>"直接用"</formula>
    </cfRule>
    <cfRule type="cellIs" priority="3" operator="equal" aboveAverage="0" equalAverage="0" bottom="0" percent="0" rank="0" text="" dxfId="1">
      <formula>"小改"</formula>
    </cfRule>
    <cfRule type="cellIs" priority="4" operator="equal" aboveAverage="0" equalAverage="0" bottom="0" percent="0" rank="0" text="" dxfId="2">
      <formula>"重写"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6"/>
  </cols>
  <sheetData>
    <row r="1" customFormat="false" ht="15" hidden="false" customHeight="false" outlineLevel="0" collapsed="false">
      <c r="A1" s="5" t="s">
        <v>27</v>
      </c>
      <c r="B1" s="5" t="s">
        <v>485</v>
      </c>
      <c r="C1" s="5" t="s">
        <v>486</v>
      </c>
      <c r="D1" s="5" t="s">
        <v>487</v>
      </c>
      <c r="E1" s="5" t="s">
        <v>488</v>
      </c>
      <c r="F1" s="5" t="s">
        <v>489</v>
      </c>
      <c r="G1" s="5" t="s">
        <v>358</v>
      </c>
    </row>
    <row r="2" customFormat="false" ht="15" hidden="false" customHeight="false" outlineLevel="0" collapsed="false">
      <c r="A2" s="15" t="s">
        <v>490</v>
      </c>
      <c r="B2" s="15" t="s">
        <v>491</v>
      </c>
      <c r="C2" s="7" t="s">
        <v>492</v>
      </c>
      <c r="D2" s="15" t="s">
        <v>493</v>
      </c>
      <c r="E2" s="7" t="s">
        <v>494</v>
      </c>
      <c r="F2" s="7" t="s">
        <v>495</v>
      </c>
      <c r="G2" s="15" t="n">
        <v>1</v>
      </c>
    </row>
    <row r="3" customFormat="false" ht="15" hidden="false" customHeight="false" outlineLevel="0" collapsed="false">
      <c r="A3" s="15" t="s">
        <v>496</v>
      </c>
      <c r="B3" s="15" t="s">
        <v>491</v>
      </c>
      <c r="C3" s="7" t="s">
        <v>497</v>
      </c>
      <c r="D3" s="15" t="s">
        <v>498</v>
      </c>
      <c r="E3" s="7" t="s">
        <v>499</v>
      </c>
      <c r="F3" s="7" t="s">
        <v>500</v>
      </c>
      <c r="G3" s="15" t="n">
        <v>1</v>
      </c>
    </row>
    <row r="4" customFormat="false" ht="27.75" hidden="false" customHeight="true" outlineLevel="0" collapsed="false">
      <c r="A4" s="15" t="s">
        <v>501</v>
      </c>
      <c r="B4" s="15" t="s">
        <v>491</v>
      </c>
      <c r="C4" s="7" t="s">
        <v>502</v>
      </c>
      <c r="D4" s="15" t="s">
        <v>503</v>
      </c>
      <c r="E4" s="7" t="s">
        <v>504</v>
      </c>
      <c r="F4" s="7" t="s">
        <v>505</v>
      </c>
      <c r="G4" s="15" t="n">
        <v>1</v>
      </c>
    </row>
    <row r="5" customFormat="false" ht="15" hidden="false" customHeight="false" outlineLevel="0" collapsed="false">
      <c r="A5" s="15" t="s">
        <v>506</v>
      </c>
      <c r="B5" s="15" t="s">
        <v>491</v>
      </c>
      <c r="C5" s="7" t="s">
        <v>507</v>
      </c>
      <c r="D5" s="15" t="s">
        <v>508</v>
      </c>
      <c r="E5" s="7" t="s">
        <v>509</v>
      </c>
      <c r="F5" s="7" t="s">
        <v>510</v>
      </c>
      <c r="G5" s="15" t="n">
        <v>1</v>
      </c>
    </row>
    <row r="6" customFormat="false" ht="15" hidden="false" customHeight="false" outlineLevel="0" collapsed="false">
      <c r="A6" s="15" t="s">
        <v>511</v>
      </c>
      <c r="B6" s="15" t="s">
        <v>512</v>
      </c>
      <c r="C6" s="7" t="s">
        <v>513</v>
      </c>
      <c r="D6" s="15" t="s">
        <v>514</v>
      </c>
      <c r="E6" s="7" t="s">
        <v>439</v>
      </c>
      <c r="F6" s="7" t="s">
        <v>439</v>
      </c>
      <c r="G6" s="15" t="n">
        <v>1</v>
      </c>
    </row>
    <row r="7" customFormat="false" ht="27.75" hidden="false" customHeight="true" outlineLevel="0" collapsed="false">
      <c r="A7" s="15" t="s">
        <v>515</v>
      </c>
      <c r="B7" s="15" t="s">
        <v>512</v>
      </c>
      <c r="C7" s="7" t="s">
        <v>516</v>
      </c>
      <c r="D7" s="15" t="s">
        <v>517</v>
      </c>
      <c r="E7" s="7" t="s">
        <v>518</v>
      </c>
      <c r="F7" s="15" t="s">
        <v>519</v>
      </c>
      <c r="G7" s="15" t="n">
        <v>1</v>
      </c>
    </row>
    <row r="8" customFormat="false" ht="27.75" hidden="false" customHeight="true" outlineLevel="0" collapsed="false">
      <c r="A8" s="15" t="s">
        <v>520</v>
      </c>
      <c r="B8" s="15" t="s">
        <v>512</v>
      </c>
      <c r="C8" s="7" t="s">
        <v>521</v>
      </c>
      <c r="D8" s="15" t="s">
        <v>522</v>
      </c>
      <c r="E8" s="7" t="s">
        <v>523</v>
      </c>
      <c r="F8" s="15" t="s">
        <v>524</v>
      </c>
      <c r="G8" s="15" t="n">
        <v>1</v>
      </c>
    </row>
    <row r="9" customFormat="false" ht="84" hidden="false" customHeight="true" outlineLevel="0" collapsed="false">
      <c r="A9" s="15" t="s">
        <v>525</v>
      </c>
      <c r="B9" s="15" t="s">
        <v>512</v>
      </c>
      <c r="C9" s="7" t="s">
        <v>526</v>
      </c>
      <c r="D9" s="15" t="s">
        <v>527</v>
      </c>
      <c r="E9" s="7" t="s">
        <v>528</v>
      </c>
      <c r="F9" s="15" t="s">
        <v>529</v>
      </c>
      <c r="G9" s="15" t="n">
        <v>1</v>
      </c>
    </row>
    <row r="10" customFormat="false" ht="29.85" hidden="false" customHeight="false" outlineLevel="0" collapsed="false">
      <c r="A10" s="15" t="s">
        <v>530</v>
      </c>
      <c r="B10" s="15" t="s">
        <v>531</v>
      </c>
      <c r="C10" s="7" t="s">
        <v>532</v>
      </c>
      <c r="D10" s="15" t="s">
        <v>533</v>
      </c>
      <c r="E10" s="7" t="s">
        <v>534</v>
      </c>
      <c r="F10" s="7" t="s">
        <v>535</v>
      </c>
      <c r="G10" s="15" t="n">
        <v>1</v>
      </c>
    </row>
    <row r="11" customFormat="false" ht="15" hidden="false" customHeight="false" outlineLevel="0" collapsed="false">
      <c r="A11" s="15" t="s">
        <v>536</v>
      </c>
      <c r="B11" s="15" t="s">
        <v>531</v>
      </c>
      <c r="C11" s="7" t="s">
        <v>537</v>
      </c>
      <c r="D11" s="15" t="s">
        <v>538</v>
      </c>
      <c r="E11" s="7" t="s">
        <v>539</v>
      </c>
      <c r="F11" s="7" t="s">
        <v>540</v>
      </c>
      <c r="G11" s="15" t="n">
        <v>1</v>
      </c>
    </row>
    <row r="12" customFormat="false" ht="27.75" hidden="false" customHeight="true" outlineLevel="0" collapsed="false">
      <c r="A12" s="15" t="s">
        <v>541</v>
      </c>
      <c r="B12" s="15" t="s">
        <v>531</v>
      </c>
      <c r="C12" s="7" t="s">
        <v>542</v>
      </c>
      <c r="D12" s="7" t="s">
        <v>543</v>
      </c>
      <c r="E12" s="7" t="s">
        <v>544</v>
      </c>
      <c r="F12" s="7" t="s">
        <v>545</v>
      </c>
      <c r="G12" s="15" t="n">
        <v>1</v>
      </c>
    </row>
    <row r="14" customFormat="false" ht="15" hidden="false" customHeight="true" outlineLevel="0" collapsed="false">
      <c r="A14" s="14" t="s">
        <v>546</v>
      </c>
      <c r="B14" s="14"/>
      <c r="C14" s="14"/>
      <c r="D14" s="14"/>
      <c r="E14" s="14"/>
      <c r="F14" s="14"/>
      <c r="G14" s="14"/>
    </row>
  </sheetData>
  <mergeCells count="1"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58"/>
  </cols>
  <sheetData>
    <row r="1" customFormat="false" ht="17.15" hidden="false" customHeight="false" outlineLevel="0" collapsed="false">
      <c r="A1" s="16" t="s">
        <v>547</v>
      </c>
    </row>
    <row r="2" customFormat="false" ht="15" hidden="false" customHeight="false" outlineLevel="0" collapsed="false">
      <c r="A2" s="5" t="s">
        <v>548</v>
      </c>
      <c r="B2" s="17" t="s">
        <v>549</v>
      </c>
      <c r="C2" s="17" t="s">
        <v>550</v>
      </c>
      <c r="D2" s="5"/>
      <c r="E2" s="5" t="s">
        <v>551</v>
      </c>
    </row>
    <row r="3" customFormat="false" ht="15" hidden="false" customHeight="false" outlineLevel="0" collapsed="false">
      <c r="A3" s="7" t="s">
        <v>552</v>
      </c>
      <c r="B3" s="15" t="n">
        <f aca="false">COUNTIF(合规样本集!$D$2:$D$49,"违规")</f>
        <v>30</v>
      </c>
      <c r="C3" s="15" t="n">
        <f aca="false">COUNTIF(合规样本集!$D$2:$D$49,"违规")</f>
        <v>30</v>
      </c>
      <c r="E3" s="15"/>
    </row>
    <row r="4" customFormat="false" ht="15" hidden="false" customHeight="false" outlineLevel="0" collapsed="false">
      <c r="A4" s="7" t="s">
        <v>553</v>
      </c>
      <c r="B4" s="22" t="n">
        <f aca="false">COUNTIFS(合规样本集!$D$2:$D$49,"违规",合规样本集!$I$2:$I$49,"&gt;0")/B3</f>
        <v>0.566666666666667</v>
      </c>
      <c r="C4" s="22" t="n">
        <f aca="false">COUNTIFS(合规样本集!$D$2:$D$49,"违规",合规样本集!$M$2:$M$49,"&gt;0")/C3</f>
        <v>0.566666666666667</v>
      </c>
      <c r="E4" s="7" t="s">
        <v>554</v>
      </c>
    </row>
    <row r="5" customFormat="false" ht="15" hidden="false" customHeight="false" outlineLevel="0" collapsed="false">
      <c r="A5" s="7" t="s">
        <v>555</v>
      </c>
      <c r="B5" s="22" t="n">
        <f aca="false">COUNTIFS(合规样本集!$D$2:$D$49,"违规",合规样本集!$F$2:$F$49,"直白",合规样本集!$I$2:$I$49,"&gt;0")/COUNTIFS(合规样本集!$D$2:$D$49,"违规",合规样本集!$F$2:$F$49,"直白")</f>
        <v>1</v>
      </c>
      <c r="C5" s="22" t="n">
        <f aca="false">COUNTIFS(合规样本集!$D$2:$D$49,"违规",合规样本集!$F$2:$F$49,"直白",合规样本集!$M$2:$M$49,"&gt;0")/COUNTIFS(合规样本集!$D$2:$D$49,"违规",合规样本集!$F$2:$F$49,"直白")</f>
        <v>1</v>
      </c>
      <c r="E5" s="7" t="s">
        <v>556</v>
      </c>
    </row>
    <row r="6" customFormat="false" ht="27.75" hidden="false" customHeight="true" outlineLevel="0" collapsed="false">
      <c r="A6" s="7" t="s">
        <v>557</v>
      </c>
      <c r="B6" s="22" t="n">
        <f aca="false">COUNTIFS(合规样本集!$D$2:$D$49,"违规",合规样本集!$F$2:$F$49,"暗示",合规样本集!$I$2:$I$49,"&gt;0")/COUNTIFS(合规样本集!$D$2:$D$49,"违规",合规样本集!$F$2:$F$49,"暗示")</f>
        <v>0</v>
      </c>
      <c r="C6" s="22" t="n">
        <f aca="false">COUNTIFS(合规样本集!$D$2:$D$49,"违规",合规样本集!$F$2:$F$49,"暗示",合规样本集!$M$2:$M$49,"&gt;0")/COUNTIFS(合规样本集!$D$2:$D$49,"违规",合规样本集!$F$2:$F$49,"暗示")</f>
        <v>0</v>
      </c>
      <c r="E6" s="7" t="s">
        <v>558</v>
      </c>
    </row>
    <row r="7" customFormat="false" ht="15" hidden="false" customHeight="false" outlineLevel="0" collapsed="false">
      <c r="A7" s="7" t="s">
        <v>559</v>
      </c>
      <c r="B7" s="22" t="n">
        <f aca="false">SUMPRODUCT((合规样本集!$D$2:$D$49="违规")*(((合规样本集!$I$2:$I$49&gt;0)+(合规样本集!$J$2:$J$49="已修改"))&gt;0))/B3</f>
        <v>1</v>
      </c>
      <c r="C7" s="22" t="n">
        <f aca="false">SUMIFS(合规样本集!$T$2:$T$49,合规样本集!$D$2:$D$49,"违规")/C3</f>
        <v>1</v>
      </c>
      <c r="E7" s="7" t="s">
        <v>560</v>
      </c>
    </row>
    <row r="8" customFormat="false" ht="15" hidden="false" customHeight="false" outlineLevel="0" collapsed="false">
      <c r="A8" s="14" t="s">
        <v>561</v>
      </c>
      <c r="B8" s="22" t="n">
        <f aca="false">COUNTIFS(合规样本集!$D$2:$D$49,"违规",合规样本集!$L$2:$L$49,"拦截成功")/B3</f>
        <v>0.9</v>
      </c>
      <c r="C8" s="22" t="n">
        <f aca="false">COUNTIFS(合规样本集!$D$2:$D$49,"违规",合规样本集!$Q$2:$Q$49,"拦截成功")/C3</f>
        <v>1</v>
      </c>
      <c r="E8" s="7" t="s">
        <v>562</v>
      </c>
    </row>
    <row r="9" customFormat="false" ht="15" hidden="false" customHeight="false" outlineLevel="0" collapsed="false">
      <c r="A9" s="7" t="s">
        <v>563</v>
      </c>
      <c r="B9" s="15" t="n">
        <f aca="false">COUNTIF(合规样本集!$D$2:$D$49,"正常")</f>
        <v>18</v>
      </c>
      <c r="C9" s="15" t="n">
        <f aca="false">COUNTIF(合规样本集!$D$2:$D$49,"正常")</f>
        <v>18</v>
      </c>
      <c r="E9" s="15"/>
    </row>
    <row r="10" customFormat="false" ht="15" hidden="false" customHeight="false" outlineLevel="0" collapsed="false">
      <c r="A10" s="7" t="s">
        <v>564</v>
      </c>
      <c r="B10" s="22" t="n">
        <f aca="false">COUNTIFS(合规样本集!$D$2:$D$49,"正常",合规样本集!$I$2:$I$49,"&gt;0")/B9</f>
        <v>0</v>
      </c>
      <c r="C10" s="22" t="n">
        <f aca="false">COUNTIFS(合规样本集!$D$2:$D$49,"正常",合规样本集!$M$2:$M$49,"&gt;0")/C9</f>
        <v>0</v>
      </c>
      <c r="E10" s="7" t="s">
        <v>565</v>
      </c>
    </row>
    <row r="11" customFormat="false" ht="27.75" hidden="false" customHeight="true" outlineLevel="0" collapsed="false">
      <c r="A11" s="14" t="s">
        <v>566</v>
      </c>
      <c r="B11" s="22" t="n">
        <f aca="false">COUNTIFS(合规样本集!$D$2:$D$49,"正常",合规样本集!$J$2:$J$49,"已修改")/B9</f>
        <v>0</v>
      </c>
      <c r="C11" s="22" t="n">
        <f aca="false">COUNTIFS(合规样本集!$D$2:$D$49,"正常",合规样本集!$N$2:$N$49,"已修改")/C9</f>
        <v>0.0555555555555556</v>
      </c>
      <c r="E11" s="15" t="s">
        <v>567</v>
      </c>
    </row>
    <row r="12" customFormat="false" ht="27.75" hidden="false" customHeight="true" outlineLevel="0" collapsed="false">
      <c r="A12" s="7" t="s">
        <v>568</v>
      </c>
      <c r="B12" s="23" t="n">
        <v>1055</v>
      </c>
      <c r="C12" s="23" t="n">
        <f aca="false">AVERAGE(合规样本集!$U$2:$U$49)</f>
        <v>1624.20833333333</v>
      </c>
      <c r="E12" s="15" t="s">
        <v>569</v>
      </c>
    </row>
    <row r="13" customFormat="false" ht="15" hidden="false" customHeight="false" outlineLevel="0" collapsed="false">
      <c r="A13" s="7" t="s">
        <v>570</v>
      </c>
      <c r="B13" s="24" t="n">
        <v>4.9</v>
      </c>
      <c r="C13" s="24" t="n">
        <f aca="false">AVERAGE(合规样本集!$V$2:$V$49)</f>
        <v>5.28125</v>
      </c>
      <c r="E13" s="15" t="s">
        <v>571</v>
      </c>
    </row>
    <row r="15" customFormat="false" ht="17.15" hidden="false" customHeight="false" outlineLevel="0" collapsed="false">
      <c r="A15" s="16" t="s">
        <v>572</v>
      </c>
    </row>
    <row r="16" customFormat="false" ht="15" hidden="false" customHeight="false" outlineLevel="0" collapsed="false">
      <c r="A16" s="5" t="s">
        <v>548</v>
      </c>
      <c r="B16" s="5" t="s">
        <v>573</v>
      </c>
      <c r="C16" s="5"/>
      <c r="D16" s="5"/>
      <c r="E16" s="5" t="s">
        <v>551</v>
      </c>
    </row>
    <row r="17" customFormat="false" ht="15" hidden="false" customHeight="false" outlineLevel="0" collapsed="false">
      <c r="A17" s="7" t="s">
        <v>574</v>
      </c>
      <c r="B17" s="15" t="n">
        <f aca="false">COUNTA(生成用例!$A$2:$A$16)</f>
        <v>15</v>
      </c>
      <c r="E17" s="15"/>
    </row>
    <row r="18" customFormat="false" ht="15" hidden="false" customHeight="false" outlineLevel="0" collapsed="false">
      <c r="A18" s="7" t="s">
        <v>575</v>
      </c>
      <c r="B18" s="15" t="n">
        <f aca="false">COUNTIF(生成用例!$E$2:$E$16,"是")</f>
        <v>8</v>
      </c>
      <c r="E18" s="7" t="s">
        <v>576</v>
      </c>
    </row>
    <row r="19" customFormat="false" ht="15" hidden="false" customHeight="false" outlineLevel="0" collapsed="false">
      <c r="A19" s="7" t="s">
        <v>577</v>
      </c>
      <c r="B19" s="22" t="n">
        <f aca="false">SUM(生成用例!$H$2:$H$16)/SUM(生成用例!$G$2:$G$16)</f>
        <v>1</v>
      </c>
      <c r="E19" s="7" t="s">
        <v>578</v>
      </c>
    </row>
    <row r="20" customFormat="false" ht="15" hidden="false" customHeight="false" outlineLevel="0" collapsed="false">
      <c r="A20" s="14" t="s">
        <v>579</v>
      </c>
      <c r="B20" s="22" t="n">
        <f aca="false">COUNTIF(生成用例!$O$2:$O$16,"&gt;0")/B17</f>
        <v>0</v>
      </c>
      <c r="E20" s="15" t="s">
        <v>580</v>
      </c>
    </row>
    <row r="21" customFormat="false" ht="15" hidden="false" customHeight="false" outlineLevel="0" collapsed="false">
      <c r="A21" s="7" t="s">
        <v>581</v>
      </c>
      <c r="B21" s="22" t="n">
        <f aca="false">COUNTIF(生成用例!$J$2:$J$16,"&gt;0")/B17</f>
        <v>0.4</v>
      </c>
      <c r="E21" s="7" t="s">
        <v>582</v>
      </c>
    </row>
    <row r="22" customFormat="false" ht="15" hidden="false" customHeight="false" outlineLevel="0" collapsed="false">
      <c r="A22" s="7" t="s">
        <v>583</v>
      </c>
      <c r="B22" s="15" t="str">
        <f aca="false">COUNTIFS(生成用例!$B$2:$B$16,"*保健食品*",生成用例!$J$2:$J$16,"&gt;0")&amp;" / "&amp;COUNTIF(生成用例!$B$2:$B$16,"*保健食品*")</f>
        <v>6 / 6</v>
      </c>
      <c r="E22" s="7" t="s">
        <v>584</v>
      </c>
    </row>
    <row r="23" customFormat="false" ht="27.75" hidden="false" customHeight="true" outlineLevel="0" collapsed="false">
      <c r="A23" s="7" t="s">
        <v>585</v>
      </c>
      <c r="B23" s="22" t="n">
        <f aca="false">COUNTIF(生成用例!$L$2:$L$16,"&gt;0")/B17</f>
        <v>0.866666666666667</v>
      </c>
      <c r="E23" s="15" t="s">
        <v>586</v>
      </c>
    </row>
    <row r="24" customFormat="false" ht="15" hidden="false" customHeight="false" outlineLevel="0" collapsed="false">
      <c r="A24" s="7" t="s">
        <v>587</v>
      </c>
      <c r="B24" s="24" t="n">
        <f aca="false">AVERAGE(生成用例!$R$2:$R$16)</f>
        <v>39.88</v>
      </c>
      <c r="E24" s="15"/>
    </row>
    <row r="25" customFormat="false" ht="27.75" hidden="false" customHeight="true" outlineLevel="0" collapsed="false">
      <c r="A25" s="7" t="s">
        <v>588</v>
      </c>
      <c r="B25" s="23" t="n">
        <f aca="false">AVERAGE(生成用例!$S$2:$S$16)</f>
        <v>9445.73333333333</v>
      </c>
      <c r="E25" s="7" t="s">
        <v>589</v>
      </c>
    </row>
    <row r="26" customFormat="false" ht="15" hidden="false" customHeight="false" outlineLevel="0" collapsed="false">
      <c r="A26" s="14" t="s">
        <v>590</v>
      </c>
      <c r="B26" s="22" t="n">
        <f aca="false">IFERROR((COUNTIF(生成用例!$AC$2:$AC$16,"直接用")+COUNTIF(生成用例!$AC$2:$AC$16,"小改"))/(COUNTIF(生成用例!$AC$2:$AC$16,"直接用")+COUNTIF(生成用例!$AC$2:$AC$16,"小改")+COUNTIF(生成用例!$AC$2:$AC$16,"重写")),"待打分")</f>
        <v>0.933333333333333</v>
      </c>
      <c r="E26" s="7" t="s">
        <v>591</v>
      </c>
    </row>
    <row r="27" customFormat="false" ht="15" hidden="false" customHeight="false" outlineLevel="0" collapsed="false">
      <c r="A27" s="7" t="s">
        <v>592</v>
      </c>
      <c r="B27" s="15" t="n">
        <f aca="false">(COUNTIF(生成用例!$AC$2:$AC$16,"直接用")+COUNTIF(生成用例!$AC$2:$AC$16,"小改")+COUNTIF(生成用例!$AC$2:$AC$16,"重写"))</f>
        <v>15</v>
      </c>
      <c r="E27" s="15"/>
    </row>
    <row r="28" customFormat="false" ht="15" hidden="false" customHeight="false" outlineLevel="0" collapsed="false">
      <c r="A28" s="7" t="s">
        <v>593</v>
      </c>
      <c r="B28" s="15" t="str">
        <f aca="false">COUNTIF(生成用例!$AC$2:$AC$16,"直接用")&amp;" / "&amp;COUNTIF(生成用例!$AC$2:$AC$16,"小改")&amp;" / "&amp;COUNTIF(生成用例!$AC$2:$AC$16,"重写")</f>
        <v>9 / 5 / 1</v>
      </c>
      <c r="E28" s="15"/>
    </row>
    <row r="29" customFormat="false" ht="15" hidden="false" customHeight="false" outlineLevel="0" collapsed="false">
      <c r="A29" s="7" t="s">
        <v>594</v>
      </c>
      <c r="B29" s="25" t="n">
        <f aca="false">IFERROR(AVERAGE(生成用例!$X$2:$X$16),"待打分")</f>
        <v>2.86666666666667</v>
      </c>
      <c r="E29" s="7" t="s">
        <v>595</v>
      </c>
    </row>
    <row r="30" customFormat="false" ht="15" hidden="false" customHeight="false" outlineLevel="0" collapsed="false">
      <c r="A30" s="7" t="s">
        <v>596</v>
      </c>
      <c r="B30" s="25" t="n">
        <f aca="false">IFERROR(AVERAGE(生成用例!$Y$2:$Y$16),"待打分")</f>
        <v>2.93333333333333</v>
      </c>
      <c r="E30" s="15"/>
    </row>
    <row r="31" customFormat="false" ht="15" hidden="false" customHeight="false" outlineLevel="0" collapsed="false">
      <c r="A31" s="7" t="s">
        <v>597</v>
      </c>
      <c r="B31" s="25" t="n">
        <f aca="false">IFERROR(AVERAGE(生成用例!$Z$2:$Z$16),"待打分")</f>
        <v>3</v>
      </c>
      <c r="E31" s="15"/>
    </row>
    <row r="32" customFormat="false" ht="15" hidden="false" customHeight="false" outlineLevel="0" collapsed="false">
      <c r="A32" s="7" t="s">
        <v>598</v>
      </c>
      <c r="B32" s="25" t="n">
        <f aca="false">IFERROR(AVERAGE(生成用例!$AA$2:$AA$16),"待打分")</f>
        <v>3</v>
      </c>
      <c r="E32" s="15"/>
    </row>
    <row r="33" customFormat="false" ht="15" hidden="false" customHeight="false" outlineLevel="0" collapsed="false">
      <c r="A33" s="7" t="s">
        <v>599</v>
      </c>
      <c r="B33" s="25" t="n">
        <f aca="false">IFERROR(AVERAGE(生成用例!$AB$2:$AB$16),"待打分")</f>
        <v>2.73333333333333</v>
      </c>
      <c r="E33" s="15"/>
    </row>
    <row r="35" customFormat="false" ht="15" hidden="false" customHeight="false" outlineLevel="0" collapsed="false">
      <c r="A35" s="16" t="s">
        <v>600</v>
      </c>
    </row>
    <row r="36" customFormat="false" ht="15" hidden="false" customHeight="false" outlineLevel="0" collapsed="false">
      <c r="A36" s="7" t="s">
        <v>601</v>
      </c>
      <c r="B36" s="15" t="str">
        <f aca="false">SUM(功能用例!G2:G12)&amp;" / "&amp;COUNTA(功能用例!A2:A12)</f>
        <v>11 / 11</v>
      </c>
      <c r="E36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52"/>
    <col collapsed="false" customWidth="true" hidden="false" outlineLevel="0" max="8" min="8" style="0" width="40"/>
  </cols>
  <sheetData>
    <row r="1" customFormat="false" ht="15" hidden="false" customHeight="true" outlineLevel="0" collapsed="false">
      <c r="A1" s="14" t="s">
        <v>602</v>
      </c>
      <c r="B1" s="14"/>
      <c r="C1" s="14"/>
      <c r="D1" s="14"/>
      <c r="E1" s="14"/>
      <c r="F1" s="14"/>
      <c r="G1" s="14"/>
      <c r="H1" s="14"/>
    </row>
    <row r="3" customFormat="false" ht="15" hidden="false" customHeight="false" outlineLevel="0" collapsed="false">
      <c r="A3" s="5" t="s">
        <v>603</v>
      </c>
      <c r="B3" s="5" t="s">
        <v>604</v>
      </c>
      <c r="C3" s="5" t="s">
        <v>605</v>
      </c>
      <c r="D3" s="5" t="s">
        <v>606</v>
      </c>
      <c r="E3" s="5" t="s">
        <v>607</v>
      </c>
      <c r="F3" s="5" t="s">
        <v>608</v>
      </c>
      <c r="G3" s="5" t="s">
        <v>609</v>
      </c>
      <c r="H3" s="5" t="s">
        <v>610</v>
      </c>
    </row>
    <row r="4" customFormat="false" ht="150" hidden="false" customHeight="true" outlineLevel="0" collapsed="false">
      <c r="A4" s="15" t="s">
        <v>611</v>
      </c>
      <c r="B4" s="15" t="s">
        <v>612</v>
      </c>
      <c r="C4" s="7" t="s">
        <v>613</v>
      </c>
      <c r="D4" s="7" t="s">
        <v>614</v>
      </c>
      <c r="E4" s="15" t="s">
        <v>615</v>
      </c>
      <c r="F4" s="7" t="s">
        <v>616</v>
      </c>
      <c r="G4" s="7" t="s">
        <v>617</v>
      </c>
      <c r="H4" s="7" t="s">
        <v>618</v>
      </c>
    </row>
    <row r="5" customFormat="false" ht="150" hidden="false" customHeight="true" outlineLevel="0" collapsed="false">
      <c r="A5" s="15" t="s">
        <v>619</v>
      </c>
      <c r="B5" s="15" t="s">
        <v>620</v>
      </c>
      <c r="C5" s="7" t="s">
        <v>613</v>
      </c>
      <c r="D5" s="7" t="s">
        <v>621</v>
      </c>
      <c r="E5" s="15" t="s">
        <v>622</v>
      </c>
      <c r="F5" s="7" t="s">
        <v>623</v>
      </c>
      <c r="G5" s="15" t="s">
        <v>624</v>
      </c>
      <c r="H5" s="7" t="s">
        <v>625</v>
      </c>
    </row>
    <row r="6" customFormat="false" ht="150" hidden="false" customHeight="true" outlineLevel="0" collapsed="false">
      <c r="A6" s="15" t="s">
        <v>626</v>
      </c>
      <c r="B6" s="15" t="s">
        <v>627</v>
      </c>
      <c r="C6" s="7" t="s">
        <v>613</v>
      </c>
      <c r="D6" s="7" t="s">
        <v>628</v>
      </c>
      <c r="E6" s="15" t="s">
        <v>356</v>
      </c>
      <c r="F6" s="7" t="s">
        <v>629</v>
      </c>
      <c r="G6" s="7" t="s">
        <v>630</v>
      </c>
      <c r="H6" s="7" t="s">
        <v>631</v>
      </c>
    </row>
    <row r="7" customFormat="false" ht="150" hidden="false" customHeight="true" outlineLevel="0" collapsed="false">
      <c r="A7" s="15" t="s">
        <v>549</v>
      </c>
      <c r="B7" s="15" t="s">
        <v>632</v>
      </c>
      <c r="C7" s="15" t="s">
        <v>633</v>
      </c>
      <c r="D7" s="7" t="s">
        <v>634</v>
      </c>
      <c r="E7" s="7" t="s">
        <v>635</v>
      </c>
      <c r="F7" s="7" t="s">
        <v>636</v>
      </c>
      <c r="G7" s="7" t="s">
        <v>637</v>
      </c>
      <c r="H7" s="7" t="s">
        <v>638</v>
      </c>
    </row>
    <row r="8" customFormat="false" ht="150" hidden="false" customHeight="true" outlineLevel="0" collapsed="false">
      <c r="A8" s="15" t="s">
        <v>639</v>
      </c>
      <c r="B8" s="15" t="s">
        <v>640</v>
      </c>
      <c r="C8" s="15" t="s">
        <v>633</v>
      </c>
      <c r="D8" s="7" t="s">
        <v>641</v>
      </c>
      <c r="E8" s="7" t="s">
        <v>642</v>
      </c>
      <c r="F8" s="7" t="s">
        <v>643</v>
      </c>
      <c r="G8" s="7" t="s">
        <v>644</v>
      </c>
      <c r="H8" s="15" t="s">
        <v>645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2026-10-27T13:09:17Z</dcterms:created>
  <dc:creator/>
  <dc:description/>
  <dc:language>en-US</dc:language>
  <cp:lastModifiedBy/>
  <dcterms:modified xsi:type="dcterms:W3CDTF">2026-10-27T14:18:09Z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